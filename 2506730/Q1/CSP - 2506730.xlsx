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yedrumaiz/Library/Mobile Documents/com~apple~CloudDocs/PycharmProjects/2506730_Mohamed_Razik_Seyed_Rumaiz/2506730/Q1/"/>
    </mc:Choice>
  </mc:AlternateContent>
  <xr:revisionPtr revIDLastSave="0" documentId="13_ncr:1_{78F8E5CE-BFEA-C04E-80BA-BF5566B72852}" xr6:coauthVersionLast="47" xr6:coauthVersionMax="47" xr10:uidLastSave="{00000000-0000-0000-0000-000000000000}"/>
  <bookViews>
    <workbookView xWindow="380" yWindow="600" windowWidth="28040" windowHeight="15940" activeTab="6" xr2:uid="{ACB69DF4-D6AB-1542-A59C-2F25A7243B68}"/>
  </bookViews>
  <sheets>
    <sheet name="Feasibility Report 1" sheetId="2" state="hidden" r:id="rId1"/>
    <sheet name="Feasibility Report 2" sheetId="3" r:id="rId2"/>
    <sheet name="Feasibility Report 3" sheetId="4" r:id="rId3"/>
    <sheet name="Answer Report 1" sheetId="5" r:id="rId4"/>
    <sheet name="Sensitivity Report 1" sheetId="6" state="hidden" r:id="rId5"/>
    <sheet name="Limits Report 1" sheetId="7" state="hidden" r:id="rId6"/>
    <sheet name="Sheet1" sheetId="1" r:id="rId7"/>
  </sheets>
  <definedNames>
    <definedName name="solver_adj" localSheetId="6" hidden="1">Sheet1!$B$2:$P$5</definedName>
    <definedName name="solver_cvg" localSheetId="6" hidden="1">0.0001</definedName>
    <definedName name="solver_drv" localSheetId="6" hidden="1">1</definedName>
    <definedName name="solver_eng" localSheetId="6" hidden="1">2</definedName>
    <definedName name="solver_itr" localSheetId="6" hidden="1">2147483647</definedName>
    <definedName name="solver_lhs1" localSheetId="6" hidden="1">Sheet1!$B$12</definedName>
    <definedName name="solver_lhs2" localSheetId="6" hidden="1">Sheet1!$B$2:$P$5</definedName>
    <definedName name="solver_lhs3" localSheetId="6" hidden="1">Sheet1!$B$6:$P$6</definedName>
    <definedName name="solver_lhs4" localSheetId="6" hidden="1">Sheet1!$G$9:$K$9</definedName>
    <definedName name="solver_lhs5" localSheetId="6" hidden="1">Sheet1!$L$9:$P$9</definedName>
    <definedName name="solver_lhs6" localSheetId="6" hidden="1">Sheet1!$Q$2:$Q$5</definedName>
    <definedName name="solver_lhs7" localSheetId="6" hidden="1">Sheet1!$Q$2:$Q$5</definedName>
    <definedName name="solver_lhs8" localSheetId="6" hidden="1">Sheet1!$Q$2:$Q$5</definedName>
    <definedName name="solver_lhs9" localSheetId="6" hidden="1">Sheet1!$Q$2:$Q$5</definedName>
    <definedName name="solver_lin" localSheetId="6" hidden="1">1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7</definedName>
    <definedName name="solver_opt" localSheetId="6" hidden="1">Sheet1!$B$24</definedName>
    <definedName name="solver_pre" localSheetId="6" hidden="1">0.000001</definedName>
    <definedName name="solver_rbv" localSheetId="6" hidden="1">1</definedName>
    <definedName name="solver_rel1" localSheetId="6" hidden="1">1</definedName>
    <definedName name="solver_rel2" localSheetId="6" hidden="1">5</definedName>
    <definedName name="solver_rel3" localSheetId="6" hidden="1">3</definedName>
    <definedName name="solver_rel4" localSheetId="6" hidden="1">3</definedName>
    <definedName name="solver_rel5" localSheetId="6" hidden="1">3</definedName>
    <definedName name="solver_rel6" localSheetId="6" hidden="1">1</definedName>
    <definedName name="solver_rel7" localSheetId="6" hidden="1">3</definedName>
    <definedName name="solver_rel8" localSheetId="6" hidden="1">1</definedName>
    <definedName name="solver_rel9" localSheetId="6" hidden="1">3</definedName>
    <definedName name="solver_rhs1" localSheetId="6" hidden="1">15</definedName>
    <definedName name="solver_rhs2" localSheetId="6" hidden="1">"binary"</definedName>
    <definedName name="solver_rhs3" localSheetId="6" hidden="1">1</definedName>
    <definedName name="solver_rhs4" localSheetId="6" hidden="1">1</definedName>
    <definedName name="solver_rhs5" localSheetId="6" hidden="1">1</definedName>
    <definedName name="solver_rhs6" localSheetId="6" hidden="1">5</definedName>
    <definedName name="solver_rhs7" localSheetId="6" hidden="1">2</definedName>
    <definedName name="solver_rhs8" localSheetId="6" hidden="1">5</definedName>
    <definedName name="solver_rhs9" localSheetId="6" hidden="1">2</definedName>
    <definedName name="solver_rlx" localSheetId="6" hidden="1">1</definedName>
    <definedName name="solver_rsd" localSheetId="6" hidden="1">0</definedName>
    <definedName name="solver_scl" localSheetId="6" hidden="1">2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1</definedName>
    <definedName name="solver_val" localSheetId="6" hidden="1">0</definedName>
    <definedName name="solver_ver" localSheetId="6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P9" i="1"/>
  <c r="K9" i="1"/>
  <c r="J9" i="1"/>
  <c r="I9" i="1"/>
  <c r="H9" i="1"/>
  <c r="G9" i="1"/>
  <c r="O9" i="1" l="1"/>
  <c r="N9" i="1"/>
  <c r="M9" i="1"/>
  <c r="L9" i="1"/>
  <c r="B12" i="1"/>
  <c r="Q3" i="1"/>
  <c r="U3" i="1"/>
  <c r="U4" i="1"/>
  <c r="U5" i="1"/>
  <c r="U2" i="1"/>
  <c r="Q4" i="1"/>
  <c r="Q5" i="1"/>
  <c r="Q2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B6" i="1"/>
</calcChain>
</file>

<file path=xl/sharedStrings.xml><?xml version="1.0" encoding="utf-8"?>
<sst xmlns="http://schemas.openxmlformats.org/spreadsheetml/2006/main" count="941" uniqueCount="318">
  <si>
    <t>Solider</t>
  </si>
  <si>
    <t>Day1</t>
  </si>
  <si>
    <t>Day2</t>
  </si>
  <si>
    <t>Day3</t>
  </si>
  <si>
    <t>Day4</t>
  </si>
  <si>
    <t>Day5</t>
  </si>
  <si>
    <t>Night1</t>
  </si>
  <si>
    <t>Night2</t>
  </si>
  <si>
    <t>Night3</t>
  </si>
  <si>
    <t>Night4</t>
  </si>
  <si>
    <t>Night5</t>
  </si>
  <si>
    <t>Boat1</t>
  </si>
  <si>
    <t>Boat2</t>
  </si>
  <si>
    <t>Boat3</t>
  </si>
  <si>
    <t>Boat4</t>
  </si>
  <si>
    <t>Boat5</t>
  </si>
  <si>
    <t>S1</t>
  </si>
  <si>
    <t>S2</t>
  </si>
  <si>
    <t>S3</t>
  </si>
  <si>
    <t>S4</t>
  </si>
  <si>
    <t>&lt;=</t>
  </si>
  <si>
    <t>&gt;=</t>
  </si>
  <si>
    <t>RowSum</t>
  </si>
  <si>
    <t>MinRowSum</t>
  </si>
  <si>
    <t>MaxRowSum</t>
  </si>
  <si>
    <t>Col Sum</t>
  </si>
  <si>
    <t>Constraints</t>
  </si>
  <si>
    <t>Total shifts</t>
  </si>
  <si>
    <t>Objective</t>
  </si>
  <si>
    <t>Capability mapping table</t>
  </si>
  <si>
    <t>Night constraints</t>
  </si>
  <si>
    <t>Boat constraints</t>
  </si>
  <si>
    <t>Soldier</t>
  </si>
  <si>
    <t>D1</t>
  </si>
  <si>
    <t>D2</t>
  </si>
  <si>
    <t>D3</t>
  </si>
  <si>
    <t>D4</t>
  </si>
  <si>
    <t>D5</t>
  </si>
  <si>
    <t>N1</t>
  </si>
  <si>
    <t>N2</t>
  </si>
  <si>
    <t>N3</t>
  </si>
  <si>
    <t>N4</t>
  </si>
  <si>
    <t>N5</t>
  </si>
  <si>
    <t>B1</t>
  </si>
  <si>
    <t>B2</t>
  </si>
  <si>
    <t>B3</t>
  </si>
  <si>
    <t>B4</t>
  </si>
  <si>
    <t>B5</t>
  </si>
  <si>
    <t>Microsoft Excel 16.106 Feasibility Report</t>
  </si>
  <si>
    <t>Worksheet: [AI - CW.xlsx]Sheet1</t>
  </si>
  <si>
    <t>Report Created: 2026-03-31 18:43:27</t>
  </si>
  <si>
    <t>Constraints Which Make the Problem Infeasible</t>
  </si>
  <si>
    <t>Cell</t>
  </si>
  <si>
    <t>Name</t>
  </si>
  <si>
    <t>Cell Value</t>
  </si>
  <si>
    <t>Formula</t>
  </si>
  <si>
    <t>Status</t>
  </si>
  <si>
    <t>Slack</t>
  </si>
  <si>
    <t>$B$12</t>
  </si>
  <si>
    <t>Total shifts Day1</t>
  </si>
  <si>
    <t>$B$12&lt;=14</t>
  </si>
  <si>
    <t>Binding</t>
  </si>
  <si>
    <t>$B$13</t>
  </si>
  <si>
    <t>Day coverag  Day1</t>
  </si>
  <si>
    <t>$B$13&gt;=5</t>
  </si>
  <si>
    <t>$B$14</t>
  </si>
  <si>
    <t>Night coverage Day1</t>
  </si>
  <si>
    <t>$B$14&gt;=5</t>
  </si>
  <si>
    <t>$B$15</t>
  </si>
  <si>
    <t>Boat coverage Day1</t>
  </si>
  <si>
    <t>$B$15&gt;=5</t>
  </si>
  <si>
    <t>Violated</t>
  </si>
  <si>
    <t>Used to measure mission readiness</t>
  </si>
  <si>
    <t>Report Created: 2026-04-10 22:52:59</t>
  </si>
  <si>
    <t>$B$6</t>
  </si>
  <si>
    <t>Col Sum Day1</t>
  </si>
  <si>
    <t>$B$6&gt;=1</t>
  </si>
  <si>
    <t>$C$6</t>
  </si>
  <si>
    <t>Col Sum Day2</t>
  </si>
  <si>
    <t>$C$6&gt;=1</t>
  </si>
  <si>
    <t>$D$6</t>
  </si>
  <si>
    <t>Col Sum Day3</t>
  </si>
  <si>
    <t>$D$6&gt;=1</t>
  </si>
  <si>
    <t>$E$6</t>
  </si>
  <si>
    <t>Col Sum Day4</t>
  </si>
  <si>
    <t>$E$6&gt;=1</t>
  </si>
  <si>
    <t>$F$6</t>
  </si>
  <si>
    <t>Col Sum Day5</t>
  </si>
  <si>
    <t>$F$6&gt;=1</t>
  </si>
  <si>
    <t>$G$9</t>
  </si>
  <si>
    <t>$G$9&gt;=1</t>
  </si>
  <si>
    <t>$H$9</t>
  </si>
  <si>
    <t>$H$9&gt;=1</t>
  </si>
  <si>
    <t>$I$9</t>
  </si>
  <si>
    <t>$I$9&gt;=1</t>
  </si>
  <si>
    <t>$J$9</t>
  </si>
  <si>
    <t>$J$9&gt;=1</t>
  </si>
  <si>
    <t>$K$9</t>
  </si>
  <si>
    <t>$K$9&gt;=1</t>
  </si>
  <si>
    <t>$L$9</t>
  </si>
  <si>
    <t>$L$9&gt;=1</t>
  </si>
  <si>
    <t>$M$9</t>
  </si>
  <si>
    <t>$M$9&gt;=1</t>
  </si>
  <si>
    <t>$N$9</t>
  </si>
  <si>
    <t>$N$9&gt;=1</t>
  </si>
  <si>
    <t>$O$9</t>
  </si>
  <si>
    <t>$O$9&gt;=1</t>
  </si>
  <si>
    <t>$P$9</t>
  </si>
  <si>
    <t>$P$9&gt;=1</t>
  </si>
  <si>
    <t>Report Created: 2026-04-10 22:53:01</t>
  </si>
  <si>
    <t>Microsoft Excel 16.106 Answer Report</t>
  </si>
  <si>
    <t>Report Created: 2026-04-11 21:19:30</t>
  </si>
  <si>
    <t>Result: Solver found a solution.  All constraints and optimality conditions are satisfied.</t>
  </si>
  <si>
    <t>Solver Engine</t>
  </si>
  <si>
    <t>Engine: Simplex LP</t>
  </si>
  <si>
    <t>Solution Time: 121.449 Seconds.</t>
  </si>
  <si>
    <t>Iterations: 44 Subproblems: 0</t>
  </si>
  <si>
    <t>Solver Options</t>
  </si>
  <si>
    <t>Max Time Unlimited, Iterations Unlimited, Precision 0.000001</t>
  </si>
  <si>
    <t>Max Subproblems Unlimited, Max Integer Sols Unlimited, Integer Tolerance 1%, Solve Without Integer Constraints, Assume NonNegative</t>
  </si>
  <si>
    <t>Objective Cell (Max)</t>
  </si>
  <si>
    <t>Original Value</t>
  </si>
  <si>
    <t>Final Value</t>
  </si>
  <si>
    <t>Variable Cells</t>
  </si>
  <si>
    <t>Integer</t>
  </si>
  <si>
    <t>$B$24</t>
  </si>
  <si>
    <t>Objective Day1</t>
  </si>
  <si>
    <t>$B$2</t>
  </si>
  <si>
    <t>S1 Day1</t>
  </si>
  <si>
    <t>$C$2</t>
  </si>
  <si>
    <t>S1 Day2</t>
  </si>
  <si>
    <t>$D$2</t>
  </si>
  <si>
    <t>S1 Day3</t>
  </si>
  <si>
    <t>$E$2</t>
  </si>
  <si>
    <t>S1 Day4</t>
  </si>
  <si>
    <t>$F$2</t>
  </si>
  <si>
    <t>S1 Day5</t>
  </si>
  <si>
    <t>$G$2</t>
  </si>
  <si>
    <t>S1 Night1</t>
  </si>
  <si>
    <t>$H$2</t>
  </si>
  <si>
    <t>S1 Night2</t>
  </si>
  <si>
    <t>$I$2</t>
  </si>
  <si>
    <t>S1 Night3</t>
  </si>
  <si>
    <t>$J$2</t>
  </si>
  <si>
    <t>S1 Night4</t>
  </si>
  <si>
    <t>$K$2</t>
  </si>
  <si>
    <t>S1 Night5</t>
  </si>
  <si>
    <t>$L$2</t>
  </si>
  <si>
    <t>S1 Boat1</t>
  </si>
  <si>
    <t>$M$2</t>
  </si>
  <si>
    <t>S1 Boat2</t>
  </si>
  <si>
    <t>$N$2</t>
  </si>
  <si>
    <t>S1 Boat3</t>
  </si>
  <si>
    <t>$O$2</t>
  </si>
  <si>
    <t>S1 Boat4</t>
  </si>
  <si>
    <t>$P$2</t>
  </si>
  <si>
    <t>S1 Boat5</t>
  </si>
  <si>
    <t>$B$3</t>
  </si>
  <si>
    <t>S2 Day1</t>
  </si>
  <si>
    <t>$C$3</t>
  </si>
  <si>
    <t>S2 Day2</t>
  </si>
  <si>
    <t>$D$3</t>
  </si>
  <si>
    <t>S2 Day3</t>
  </si>
  <si>
    <t>$E$3</t>
  </si>
  <si>
    <t>S2 Day4</t>
  </si>
  <si>
    <t>$F$3</t>
  </si>
  <si>
    <t>S2 Day5</t>
  </si>
  <si>
    <t>$G$3</t>
  </si>
  <si>
    <t>S2 Night1</t>
  </si>
  <si>
    <t>$H$3</t>
  </si>
  <si>
    <t>S2 Night2</t>
  </si>
  <si>
    <t>$I$3</t>
  </si>
  <si>
    <t>S2 Night3</t>
  </si>
  <si>
    <t>$J$3</t>
  </si>
  <si>
    <t>S2 Night4</t>
  </si>
  <si>
    <t>$K$3</t>
  </si>
  <si>
    <t>S2 Night5</t>
  </si>
  <si>
    <t>$L$3</t>
  </si>
  <si>
    <t>S2 Boat1</t>
  </si>
  <si>
    <t>$M$3</t>
  </si>
  <si>
    <t>S2 Boat2</t>
  </si>
  <si>
    <t>$N$3</t>
  </si>
  <si>
    <t>S2 Boat3</t>
  </si>
  <si>
    <t>$O$3</t>
  </si>
  <si>
    <t>S2 Boat4</t>
  </si>
  <si>
    <t>$P$3</t>
  </si>
  <si>
    <t>S2 Boat5</t>
  </si>
  <si>
    <t>$B$4</t>
  </si>
  <si>
    <t>S3 Day1</t>
  </si>
  <si>
    <t>$C$4</t>
  </si>
  <si>
    <t>S3 Day2</t>
  </si>
  <si>
    <t>$D$4</t>
  </si>
  <si>
    <t>S3 Day3</t>
  </si>
  <si>
    <t>$E$4</t>
  </si>
  <si>
    <t>S3 Day4</t>
  </si>
  <si>
    <t>$F$4</t>
  </si>
  <si>
    <t>S3 Day5</t>
  </si>
  <si>
    <t>$G$4</t>
  </si>
  <si>
    <t>S3 Night1</t>
  </si>
  <si>
    <t>$H$4</t>
  </si>
  <si>
    <t>S3 Night2</t>
  </si>
  <si>
    <t>$I$4</t>
  </si>
  <si>
    <t>S3 Night3</t>
  </si>
  <si>
    <t>$J$4</t>
  </si>
  <si>
    <t>S3 Night4</t>
  </si>
  <si>
    <t>$K$4</t>
  </si>
  <si>
    <t>S3 Night5</t>
  </si>
  <si>
    <t>$L$4</t>
  </si>
  <si>
    <t>S3 Boat1</t>
  </si>
  <si>
    <t>$M$4</t>
  </si>
  <si>
    <t>S3 Boat2</t>
  </si>
  <si>
    <t>$N$4</t>
  </si>
  <si>
    <t>S3 Boat3</t>
  </si>
  <si>
    <t>$O$4</t>
  </si>
  <si>
    <t>S3 Boat4</t>
  </si>
  <si>
    <t>$P$4</t>
  </si>
  <si>
    <t>S3 Boat5</t>
  </si>
  <si>
    <t>$B$5</t>
  </si>
  <si>
    <t>S4 Day1</t>
  </si>
  <si>
    <t>$C$5</t>
  </si>
  <si>
    <t>S4 Day2</t>
  </si>
  <si>
    <t>$D$5</t>
  </si>
  <si>
    <t>S4 Day3</t>
  </si>
  <si>
    <t>$E$5</t>
  </si>
  <si>
    <t>S4 Day4</t>
  </si>
  <si>
    <t>$F$5</t>
  </si>
  <si>
    <t>S4 Day5</t>
  </si>
  <si>
    <t>$G$5</t>
  </si>
  <si>
    <t>S4 Night1</t>
  </si>
  <si>
    <t>$H$5</t>
  </si>
  <si>
    <t>S4 Night2</t>
  </si>
  <si>
    <t>$I$5</t>
  </si>
  <si>
    <t>S4 Night3</t>
  </si>
  <si>
    <t>$J$5</t>
  </si>
  <si>
    <t>S4 Night4</t>
  </si>
  <si>
    <t>$K$5</t>
  </si>
  <si>
    <t>S4 Night5</t>
  </si>
  <si>
    <t>$L$5</t>
  </si>
  <si>
    <t>S4 Boat1</t>
  </si>
  <si>
    <t>$M$5</t>
  </si>
  <si>
    <t>S4 Boat2</t>
  </si>
  <si>
    <t>$N$5</t>
  </si>
  <si>
    <t>S4 Boat3</t>
  </si>
  <si>
    <t>$O$5</t>
  </si>
  <si>
    <t>S4 Boat4</t>
  </si>
  <si>
    <t>$P$5</t>
  </si>
  <si>
    <t>S4 Boat5</t>
  </si>
  <si>
    <t>$B$12&lt;=15</t>
  </si>
  <si>
    <t>$G$6</t>
  </si>
  <si>
    <t>Col Sum Night1</t>
  </si>
  <si>
    <t>$G$6&gt;=1</t>
  </si>
  <si>
    <t>$H$6</t>
  </si>
  <si>
    <t>Col Sum Night2</t>
  </si>
  <si>
    <t>$H$6&gt;=1</t>
  </si>
  <si>
    <t>$I$6</t>
  </si>
  <si>
    <t>Col Sum Night3</t>
  </si>
  <si>
    <t>$I$6&gt;=1</t>
  </si>
  <si>
    <t>$J$6</t>
  </si>
  <si>
    <t>Col Sum Night4</t>
  </si>
  <si>
    <t>$J$6&gt;=1</t>
  </si>
  <si>
    <t>$K$6</t>
  </si>
  <si>
    <t>Col Sum Night5</t>
  </si>
  <si>
    <t>$K$6&gt;=1</t>
  </si>
  <si>
    <t>$L$6</t>
  </si>
  <si>
    <t>Col Sum Boat1</t>
  </si>
  <si>
    <t>$L$6&gt;=1</t>
  </si>
  <si>
    <t>$M$6</t>
  </si>
  <si>
    <t>Col Sum Boat2</t>
  </si>
  <si>
    <t>$M$6&gt;=1</t>
  </si>
  <si>
    <t>$N$6</t>
  </si>
  <si>
    <t>Col Sum Boat3</t>
  </si>
  <si>
    <t>$N$6&gt;=1</t>
  </si>
  <si>
    <t>$O$6</t>
  </si>
  <si>
    <t>Col Sum Boat4</t>
  </si>
  <si>
    <t>$O$6&gt;=1</t>
  </si>
  <si>
    <t>$P$6</t>
  </si>
  <si>
    <t>Col Sum Boat5</t>
  </si>
  <si>
    <t>$P$6&gt;=1</t>
  </si>
  <si>
    <t>$Q$2</t>
  </si>
  <si>
    <t>S1 RowSum</t>
  </si>
  <si>
    <t>$Q$2&lt;=5</t>
  </si>
  <si>
    <t>$Q$3</t>
  </si>
  <si>
    <t>S2 RowSum</t>
  </si>
  <si>
    <t>$Q$3&lt;=5</t>
  </si>
  <si>
    <t>$Q$4</t>
  </si>
  <si>
    <t>S3 RowSum</t>
  </si>
  <si>
    <t>$Q$4&lt;=5</t>
  </si>
  <si>
    <t>Not Binding</t>
  </si>
  <si>
    <t>$Q$5</t>
  </si>
  <si>
    <t>S4 RowSum</t>
  </si>
  <si>
    <t>$Q$5&lt;=5</t>
  </si>
  <si>
    <t>$Q$2&gt;=2</t>
  </si>
  <si>
    <t>$Q$3&gt;=2</t>
  </si>
  <si>
    <t>$Q$4&gt;=2</t>
  </si>
  <si>
    <t>$Q$5&gt;=2</t>
  </si>
  <si>
    <t>$B$2:$P$5=Binary</t>
  </si>
  <si>
    <t>Binary</t>
  </si>
  <si>
    <t>Microsoft Excel 16.106 Sensitivity Report</t>
  </si>
  <si>
    <t>Report Created: 2026-04-11 21:19:31</t>
  </si>
  <si>
    <t>Final</t>
  </si>
  <si>
    <t>Value</t>
  </si>
  <si>
    <t>Reduced</t>
  </si>
  <si>
    <t>Cost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</si>
  <si>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</si>
  <si>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</si>
  <si>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</si>
  <si>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</si>
  <si>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</si>
  <si>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</si>
  <si>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</si>
  <si>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</si>
  <si>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16.106 Limits Report</t>
  </si>
  <si>
    <t>Report Created: 2026-04-11 21:19:32</t>
  </si>
  <si>
    <t>Variable</t>
  </si>
  <si>
    <t>Lower</t>
  </si>
  <si>
    <t>Limit</t>
  </si>
  <si>
    <t>Result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</si>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</sst>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indexed="1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0" fillId="6" borderId="0" xfId="0" applyFill="1"/>
    <xf numFmtId="0" fontId="0" fillId="0" borderId="4" xfId="0" applyBorder="1"/>
    <xf numFmtId="0" fontId="0" fillId="0" borderId="5" xfId="0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42EB-551B-744A-AD54-B81E0666944B}">
  <dimension ref="A1:G11"/>
  <sheetViews>
    <sheetView showGridLines="0" workbookViewId="0"/>
  </sheetViews>
  <sheetFormatPr baseColWidth="10" defaultRowHeight="16" x14ac:dyDescent="0.2"/>
  <cols>
    <col min="1" max="1" width="2.33203125" customWidth="1"/>
    <col min="2" max="2" width="6.33203125" bestFit="1" customWidth="1"/>
    <col min="3" max="3" width="17.83203125" bestFit="1" customWidth="1"/>
    <col min="4" max="4" width="9.5" bestFit="1" customWidth="1"/>
    <col min="5" max="5" width="10.33203125" bestFit="1" customWidth="1"/>
    <col min="6" max="6" width="7.83203125" bestFit="1" customWidth="1"/>
    <col min="7" max="7" width="5.6640625" bestFit="1" customWidth="1"/>
  </cols>
  <sheetData>
    <row r="1" spans="1:7" x14ac:dyDescent="0.2">
      <c r="A1" s="8" t="s">
        <v>48</v>
      </c>
    </row>
    <row r="2" spans="1:7" x14ac:dyDescent="0.2">
      <c r="A2" s="8" t="s">
        <v>49</v>
      </c>
    </row>
    <row r="3" spans="1:7" x14ac:dyDescent="0.2">
      <c r="A3" s="8" t="s">
        <v>50</v>
      </c>
    </row>
    <row r="6" spans="1:7" ht="17" thickBot="1" x14ac:dyDescent="0.25">
      <c r="A6" t="s">
        <v>51</v>
      </c>
    </row>
    <row r="7" spans="1:7" ht="17" thickBot="1" x14ac:dyDescent="0.25">
      <c r="B7" s="9" t="s">
        <v>52</v>
      </c>
      <c r="C7" s="9" t="s">
        <v>53</v>
      </c>
      <c r="D7" s="9" t="s">
        <v>54</v>
      </c>
      <c r="E7" s="9" t="s">
        <v>55</v>
      </c>
      <c r="F7" s="9" t="s">
        <v>56</v>
      </c>
      <c r="G7" s="9" t="s">
        <v>57</v>
      </c>
    </row>
    <row r="8" spans="1:7" x14ac:dyDescent="0.2">
      <c r="B8" t="s">
        <v>58</v>
      </c>
      <c r="C8" t="s">
        <v>59</v>
      </c>
      <c r="D8">
        <v>14</v>
      </c>
      <c r="E8" t="s">
        <v>60</v>
      </c>
      <c r="F8" t="s">
        <v>61</v>
      </c>
      <c r="G8">
        <v>0</v>
      </c>
    </row>
    <row r="9" spans="1:7" x14ac:dyDescent="0.2">
      <c r="B9" t="s">
        <v>62</v>
      </c>
      <c r="C9" t="s">
        <v>63</v>
      </c>
      <c r="D9">
        <v>5</v>
      </c>
      <c r="E9" t="s">
        <v>64</v>
      </c>
      <c r="F9" t="s">
        <v>61</v>
      </c>
      <c r="G9">
        <v>0</v>
      </c>
    </row>
    <row r="10" spans="1:7" x14ac:dyDescent="0.2">
      <c r="B10" t="s">
        <v>65</v>
      </c>
      <c r="C10" t="s">
        <v>66</v>
      </c>
      <c r="D10">
        <v>5</v>
      </c>
      <c r="E10" t="s">
        <v>67</v>
      </c>
      <c r="F10" t="s">
        <v>61</v>
      </c>
      <c r="G10">
        <v>0</v>
      </c>
    </row>
    <row r="11" spans="1:7" x14ac:dyDescent="0.2">
      <c r="B11" t="s">
        <v>68</v>
      </c>
      <c r="C11" t="s">
        <v>69</v>
      </c>
      <c r="D11">
        <v>4</v>
      </c>
      <c r="E11" t="s">
        <v>70</v>
      </c>
      <c r="F11" t="s">
        <v>71</v>
      </c>
      <c r="G11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AF06-16A9-934A-A4F5-9EE929966966}">
  <dimension ref="A1:G23"/>
  <sheetViews>
    <sheetView showGridLines="0" workbookViewId="0">
      <selection activeCell="J21" sqref="J21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15" bestFit="1" customWidth="1"/>
    <col min="4" max="4" width="9.5" bestFit="1" customWidth="1"/>
    <col min="5" max="5" width="10.33203125" bestFit="1" customWidth="1"/>
    <col min="6" max="6" width="7.83203125" bestFit="1" customWidth="1"/>
    <col min="7" max="7" width="5.6640625" bestFit="1" customWidth="1"/>
  </cols>
  <sheetData>
    <row r="1" spans="1:7" x14ac:dyDescent="0.2">
      <c r="A1" s="8" t="s">
        <v>48</v>
      </c>
    </row>
    <row r="2" spans="1:7" x14ac:dyDescent="0.2">
      <c r="A2" s="8" t="s">
        <v>49</v>
      </c>
    </row>
    <row r="3" spans="1:7" x14ac:dyDescent="0.2">
      <c r="A3" s="8" t="s">
        <v>73</v>
      </c>
    </row>
    <row r="6" spans="1:7" ht="17" thickBot="1" x14ac:dyDescent="0.25">
      <c r="A6" t="s">
        <v>51</v>
      </c>
    </row>
    <row r="7" spans="1:7" ht="17" thickBot="1" x14ac:dyDescent="0.25">
      <c r="B7" s="9" t="s">
        <v>52</v>
      </c>
      <c r="C7" s="9" t="s">
        <v>53</v>
      </c>
      <c r="D7" s="9" t="s">
        <v>54</v>
      </c>
      <c r="E7" s="9" t="s">
        <v>55</v>
      </c>
      <c r="F7" s="9" t="s">
        <v>56</v>
      </c>
      <c r="G7" s="9" t="s">
        <v>57</v>
      </c>
    </row>
    <row r="8" spans="1:7" x14ac:dyDescent="0.2">
      <c r="B8" t="s">
        <v>58</v>
      </c>
      <c r="C8" t="s">
        <v>59</v>
      </c>
      <c r="D8">
        <v>14</v>
      </c>
      <c r="E8" t="s">
        <v>60</v>
      </c>
      <c r="F8" t="s">
        <v>61</v>
      </c>
      <c r="G8">
        <v>0</v>
      </c>
    </row>
    <row r="9" spans="1:7" x14ac:dyDescent="0.2">
      <c r="B9" t="s">
        <v>74</v>
      </c>
      <c r="C9" t="s">
        <v>75</v>
      </c>
      <c r="D9">
        <v>1</v>
      </c>
      <c r="E9" t="s">
        <v>76</v>
      </c>
      <c r="F9" t="s">
        <v>61</v>
      </c>
      <c r="G9">
        <v>0</v>
      </c>
    </row>
    <row r="10" spans="1:7" x14ac:dyDescent="0.2">
      <c r="B10" t="s">
        <v>77</v>
      </c>
      <c r="C10" t="s">
        <v>78</v>
      </c>
      <c r="D10">
        <v>1</v>
      </c>
      <c r="E10" t="s">
        <v>79</v>
      </c>
      <c r="F10" t="s">
        <v>61</v>
      </c>
      <c r="G10">
        <v>0</v>
      </c>
    </row>
    <row r="11" spans="1:7" x14ac:dyDescent="0.2">
      <c r="B11" t="s">
        <v>80</v>
      </c>
      <c r="C11" t="s">
        <v>81</v>
      </c>
      <c r="D11">
        <v>1</v>
      </c>
      <c r="E11" t="s">
        <v>82</v>
      </c>
      <c r="F11" t="s">
        <v>61</v>
      </c>
      <c r="G11">
        <v>0</v>
      </c>
    </row>
    <row r="12" spans="1:7" x14ac:dyDescent="0.2">
      <c r="B12" t="s">
        <v>83</v>
      </c>
      <c r="C12" t="s">
        <v>84</v>
      </c>
      <c r="D12">
        <v>1</v>
      </c>
      <c r="E12" t="s">
        <v>85</v>
      </c>
      <c r="F12" t="s">
        <v>61</v>
      </c>
      <c r="G12">
        <v>0</v>
      </c>
    </row>
    <row r="13" spans="1:7" x14ac:dyDescent="0.2">
      <c r="B13" t="s">
        <v>86</v>
      </c>
      <c r="C13" t="s">
        <v>87</v>
      </c>
      <c r="D13">
        <v>0</v>
      </c>
      <c r="E13" t="s">
        <v>88</v>
      </c>
      <c r="F13" t="s">
        <v>71</v>
      </c>
      <c r="G13">
        <v>-1</v>
      </c>
    </row>
    <row r="14" spans="1:7" x14ac:dyDescent="0.2">
      <c r="B14" t="s">
        <v>89</v>
      </c>
      <c r="C14" t="s">
        <v>30</v>
      </c>
      <c r="D14">
        <v>1</v>
      </c>
      <c r="E14" t="s">
        <v>90</v>
      </c>
      <c r="F14" t="s">
        <v>61</v>
      </c>
      <c r="G14">
        <v>0</v>
      </c>
    </row>
    <row r="15" spans="1:7" x14ac:dyDescent="0.2">
      <c r="B15" t="s">
        <v>91</v>
      </c>
      <c r="C15" t="s">
        <v>7</v>
      </c>
      <c r="D15">
        <v>1</v>
      </c>
      <c r="E15" t="s">
        <v>92</v>
      </c>
      <c r="F15" t="s">
        <v>61</v>
      </c>
      <c r="G15">
        <v>0</v>
      </c>
    </row>
    <row r="16" spans="1:7" x14ac:dyDescent="0.2">
      <c r="B16" t="s">
        <v>93</v>
      </c>
      <c r="C16" t="s">
        <v>8</v>
      </c>
      <c r="D16">
        <v>1</v>
      </c>
      <c r="E16" t="s">
        <v>94</v>
      </c>
      <c r="F16" t="s">
        <v>61</v>
      </c>
      <c r="G16">
        <v>0</v>
      </c>
    </row>
    <row r="17" spans="2:7" x14ac:dyDescent="0.2">
      <c r="B17" t="s">
        <v>95</v>
      </c>
      <c r="C17" t="s">
        <v>9</v>
      </c>
      <c r="D17">
        <v>1</v>
      </c>
      <c r="E17" t="s">
        <v>96</v>
      </c>
      <c r="F17" t="s">
        <v>61</v>
      </c>
      <c r="G17">
        <v>0</v>
      </c>
    </row>
    <row r="18" spans="2:7" x14ac:dyDescent="0.2">
      <c r="B18" t="s">
        <v>97</v>
      </c>
      <c r="C18" t="s">
        <v>10</v>
      </c>
      <c r="D18">
        <v>1</v>
      </c>
      <c r="E18" t="s">
        <v>98</v>
      </c>
      <c r="F18" t="s">
        <v>61</v>
      </c>
      <c r="G18">
        <v>0</v>
      </c>
    </row>
    <row r="19" spans="2:7" x14ac:dyDescent="0.2">
      <c r="B19" t="s">
        <v>99</v>
      </c>
      <c r="C19" t="s">
        <v>31</v>
      </c>
      <c r="D19">
        <v>1</v>
      </c>
      <c r="E19" t="s">
        <v>100</v>
      </c>
      <c r="F19" t="s">
        <v>61</v>
      </c>
      <c r="G19">
        <v>0</v>
      </c>
    </row>
    <row r="20" spans="2:7" x14ac:dyDescent="0.2">
      <c r="B20" t="s">
        <v>101</v>
      </c>
      <c r="C20" t="s">
        <v>12</v>
      </c>
      <c r="D20">
        <v>1</v>
      </c>
      <c r="E20" t="s">
        <v>102</v>
      </c>
      <c r="F20" t="s">
        <v>61</v>
      </c>
      <c r="G20">
        <v>0</v>
      </c>
    </row>
    <row r="21" spans="2:7" x14ac:dyDescent="0.2">
      <c r="B21" t="s">
        <v>103</v>
      </c>
      <c r="C21" t="s">
        <v>13</v>
      </c>
      <c r="D21">
        <v>1</v>
      </c>
      <c r="E21" t="s">
        <v>104</v>
      </c>
      <c r="F21" t="s">
        <v>61</v>
      </c>
      <c r="G21">
        <v>0</v>
      </c>
    </row>
    <row r="22" spans="2:7" x14ac:dyDescent="0.2">
      <c r="B22" t="s">
        <v>105</v>
      </c>
      <c r="C22" t="s">
        <v>14</v>
      </c>
      <c r="D22">
        <v>1</v>
      </c>
      <c r="E22" t="s">
        <v>106</v>
      </c>
      <c r="F22" t="s">
        <v>61</v>
      </c>
      <c r="G22">
        <v>0</v>
      </c>
    </row>
    <row r="23" spans="2:7" x14ac:dyDescent="0.2">
      <c r="B23" t="s">
        <v>107</v>
      </c>
      <c r="C23" t="s">
        <v>15</v>
      </c>
      <c r="D23">
        <v>1</v>
      </c>
      <c r="E23" t="s">
        <v>108</v>
      </c>
      <c r="F23" t="s">
        <v>61</v>
      </c>
      <c r="G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9986-8731-FA4C-9184-342F8E5BAB26}">
  <dimension ref="A1:G23"/>
  <sheetViews>
    <sheetView showGridLines="0" workbookViewId="0"/>
  </sheetViews>
  <sheetFormatPr baseColWidth="10" defaultRowHeight="16" x14ac:dyDescent="0.2"/>
  <cols>
    <col min="1" max="1" width="2.33203125" customWidth="1"/>
    <col min="2" max="2" width="6.33203125" bestFit="1" customWidth="1"/>
    <col min="3" max="3" width="15" bestFit="1" customWidth="1"/>
    <col min="4" max="4" width="9.5" bestFit="1" customWidth="1"/>
    <col min="5" max="5" width="10.33203125" bestFit="1" customWidth="1"/>
    <col min="6" max="6" width="7.83203125" bestFit="1" customWidth="1"/>
    <col min="7" max="7" width="5.6640625" bestFit="1" customWidth="1"/>
  </cols>
  <sheetData>
    <row r="1" spans="1:7" x14ac:dyDescent="0.2">
      <c r="A1" s="8" t="s">
        <v>48</v>
      </c>
    </row>
    <row r="2" spans="1:7" x14ac:dyDescent="0.2">
      <c r="A2" s="8" t="s">
        <v>49</v>
      </c>
    </row>
    <row r="3" spans="1:7" x14ac:dyDescent="0.2">
      <c r="A3" s="8" t="s">
        <v>109</v>
      </c>
    </row>
    <row r="6" spans="1:7" ht="17" thickBot="1" x14ac:dyDescent="0.25">
      <c r="A6" t="s">
        <v>51</v>
      </c>
    </row>
    <row r="7" spans="1:7" ht="17" thickBot="1" x14ac:dyDescent="0.25">
      <c r="B7" s="9" t="s">
        <v>52</v>
      </c>
      <c r="C7" s="9" t="s">
        <v>53</v>
      </c>
      <c r="D7" s="9" t="s">
        <v>54</v>
      </c>
      <c r="E7" s="9" t="s">
        <v>55</v>
      </c>
      <c r="F7" s="9" t="s">
        <v>56</v>
      </c>
      <c r="G7" s="9" t="s">
        <v>57</v>
      </c>
    </row>
    <row r="8" spans="1:7" x14ac:dyDescent="0.2">
      <c r="B8" t="s">
        <v>58</v>
      </c>
      <c r="C8" t="s">
        <v>59</v>
      </c>
      <c r="D8">
        <v>14</v>
      </c>
      <c r="E8" t="s">
        <v>60</v>
      </c>
      <c r="F8" t="s">
        <v>61</v>
      </c>
      <c r="G8">
        <v>0</v>
      </c>
    </row>
    <row r="9" spans="1:7" x14ac:dyDescent="0.2">
      <c r="B9" t="s">
        <v>74</v>
      </c>
      <c r="C9" t="s">
        <v>75</v>
      </c>
      <c r="D9">
        <v>1</v>
      </c>
      <c r="E9" t="s">
        <v>76</v>
      </c>
      <c r="F9" t="s">
        <v>61</v>
      </c>
      <c r="G9">
        <v>0</v>
      </c>
    </row>
    <row r="10" spans="1:7" x14ac:dyDescent="0.2">
      <c r="B10" t="s">
        <v>77</v>
      </c>
      <c r="C10" t="s">
        <v>78</v>
      </c>
      <c r="D10">
        <v>1</v>
      </c>
      <c r="E10" t="s">
        <v>79</v>
      </c>
      <c r="F10" t="s">
        <v>61</v>
      </c>
      <c r="G10">
        <v>0</v>
      </c>
    </row>
    <row r="11" spans="1:7" x14ac:dyDescent="0.2">
      <c r="B11" t="s">
        <v>80</v>
      </c>
      <c r="C11" t="s">
        <v>81</v>
      </c>
      <c r="D11">
        <v>1</v>
      </c>
      <c r="E11" t="s">
        <v>82</v>
      </c>
      <c r="F11" t="s">
        <v>61</v>
      </c>
      <c r="G11">
        <v>0</v>
      </c>
    </row>
    <row r="12" spans="1:7" x14ac:dyDescent="0.2">
      <c r="B12" t="s">
        <v>83</v>
      </c>
      <c r="C12" t="s">
        <v>84</v>
      </c>
      <c r="D12">
        <v>1</v>
      </c>
      <c r="E12" t="s">
        <v>85</v>
      </c>
      <c r="F12" t="s">
        <v>61</v>
      </c>
      <c r="G12">
        <v>0</v>
      </c>
    </row>
    <row r="13" spans="1:7" x14ac:dyDescent="0.2">
      <c r="B13" t="s">
        <v>86</v>
      </c>
      <c r="C13" t="s">
        <v>87</v>
      </c>
      <c r="D13">
        <v>0</v>
      </c>
      <c r="E13" t="s">
        <v>88</v>
      </c>
      <c r="F13" t="s">
        <v>71</v>
      </c>
      <c r="G13">
        <v>-1</v>
      </c>
    </row>
    <row r="14" spans="1:7" x14ac:dyDescent="0.2">
      <c r="B14" t="s">
        <v>89</v>
      </c>
      <c r="C14" t="s">
        <v>30</v>
      </c>
      <c r="D14">
        <v>1</v>
      </c>
      <c r="E14" t="s">
        <v>90</v>
      </c>
      <c r="F14" t="s">
        <v>61</v>
      </c>
      <c r="G14">
        <v>0</v>
      </c>
    </row>
    <row r="15" spans="1:7" x14ac:dyDescent="0.2">
      <c r="B15" t="s">
        <v>91</v>
      </c>
      <c r="C15" t="s">
        <v>7</v>
      </c>
      <c r="D15">
        <v>1</v>
      </c>
      <c r="E15" t="s">
        <v>92</v>
      </c>
      <c r="F15" t="s">
        <v>61</v>
      </c>
      <c r="G15">
        <v>0</v>
      </c>
    </row>
    <row r="16" spans="1:7" x14ac:dyDescent="0.2">
      <c r="B16" t="s">
        <v>93</v>
      </c>
      <c r="C16" t="s">
        <v>8</v>
      </c>
      <c r="D16">
        <v>1</v>
      </c>
      <c r="E16" t="s">
        <v>94</v>
      </c>
      <c r="F16" t="s">
        <v>61</v>
      </c>
      <c r="G16">
        <v>0</v>
      </c>
    </row>
    <row r="17" spans="2:7" x14ac:dyDescent="0.2">
      <c r="B17" t="s">
        <v>95</v>
      </c>
      <c r="C17" t="s">
        <v>9</v>
      </c>
      <c r="D17">
        <v>1</v>
      </c>
      <c r="E17" t="s">
        <v>96</v>
      </c>
      <c r="F17" t="s">
        <v>61</v>
      </c>
      <c r="G17">
        <v>0</v>
      </c>
    </row>
    <row r="18" spans="2:7" x14ac:dyDescent="0.2">
      <c r="B18" t="s">
        <v>97</v>
      </c>
      <c r="C18" t="s">
        <v>10</v>
      </c>
      <c r="D18">
        <v>1</v>
      </c>
      <c r="E18" t="s">
        <v>98</v>
      </c>
      <c r="F18" t="s">
        <v>61</v>
      </c>
      <c r="G18">
        <v>0</v>
      </c>
    </row>
    <row r="19" spans="2:7" x14ac:dyDescent="0.2">
      <c r="B19" t="s">
        <v>99</v>
      </c>
      <c r="C19" t="s">
        <v>31</v>
      </c>
      <c r="D19">
        <v>1</v>
      </c>
      <c r="E19" t="s">
        <v>100</v>
      </c>
      <c r="F19" t="s">
        <v>61</v>
      </c>
      <c r="G19">
        <v>0</v>
      </c>
    </row>
    <row r="20" spans="2:7" x14ac:dyDescent="0.2">
      <c r="B20" t="s">
        <v>101</v>
      </c>
      <c r="C20" t="s">
        <v>12</v>
      </c>
      <c r="D20">
        <v>1</v>
      </c>
      <c r="E20" t="s">
        <v>102</v>
      </c>
      <c r="F20" t="s">
        <v>61</v>
      </c>
      <c r="G20">
        <v>0</v>
      </c>
    </row>
    <row r="21" spans="2:7" x14ac:dyDescent="0.2">
      <c r="B21" t="s">
        <v>103</v>
      </c>
      <c r="C21" t="s">
        <v>13</v>
      </c>
      <c r="D21">
        <v>1</v>
      </c>
      <c r="E21" t="s">
        <v>104</v>
      </c>
      <c r="F21" t="s">
        <v>61</v>
      </c>
      <c r="G21">
        <v>0</v>
      </c>
    </row>
    <row r="22" spans="2:7" x14ac:dyDescent="0.2">
      <c r="B22" t="s">
        <v>105</v>
      </c>
      <c r="C22" t="s">
        <v>14</v>
      </c>
      <c r="D22">
        <v>1</v>
      </c>
      <c r="E22" t="s">
        <v>106</v>
      </c>
      <c r="F22" t="s">
        <v>61</v>
      </c>
      <c r="G22">
        <v>0</v>
      </c>
    </row>
    <row r="23" spans="2:7" x14ac:dyDescent="0.2">
      <c r="B23" t="s">
        <v>107</v>
      </c>
      <c r="C23" t="s">
        <v>15</v>
      </c>
      <c r="D23">
        <v>1</v>
      </c>
      <c r="E23" t="s">
        <v>108</v>
      </c>
      <c r="F23" t="s">
        <v>61</v>
      </c>
      <c r="G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6BA3-AF9B-BC41-965B-7E6A46B6D5C1}">
  <dimension ref="A1:G119"/>
  <sheetViews>
    <sheetView showGridLines="0" workbookViewId="0">
      <selection activeCell="K17" sqref="K17"/>
    </sheetView>
  </sheetViews>
  <sheetFormatPr baseColWidth="10" defaultRowHeight="16" x14ac:dyDescent="0.2"/>
  <cols>
    <col min="1" max="1" width="2.33203125" customWidth="1"/>
    <col min="2" max="2" width="16" bestFit="1" customWidth="1"/>
    <col min="3" max="3" width="15" bestFit="1" customWidth="1"/>
    <col min="4" max="4" width="12.6640625" bestFit="1" customWidth="1"/>
    <col min="5" max="5" width="10.33203125" bestFit="1" customWidth="1"/>
    <col min="6" max="6" width="10.5" bestFit="1" customWidth="1"/>
    <col min="7" max="7" width="5.6640625" bestFit="1" customWidth="1"/>
  </cols>
  <sheetData>
    <row r="1" spans="1:5" x14ac:dyDescent="0.2">
      <c r="A1" s="8" t="s">
        <v>110</v>
      </c>
    </row>
    <row r="2" spans="1:5" x14ac:dyDescent="0.2">
      <c r="A2" s="8" t="s">
        <v>49</v>
      </c>
    </row>
    <row r="3" spans="1:5" x14ac:dyDescent="0.2">
      <c r="A3" s="8" t="s">
        <v>111</v>
      </c>
    </row>
    <row r="4" spans="1:5" x14ac:dyDescent="0.2">
      <c r="A4" s="8" t="s">
        <v>112</v>
      </c>
    </row>
    <row r="5" spans="1:5" x14ac:dyDescent="0.2">
      <c r="A5" s="8" t="s">
        <v>113</v>
      </c>
    </row>
    <row r="6" spans="1:5" x14ac:dyDescent="0.2">
      <c r="A6" s="8"/>
      <c r="B6" t="s">
        <v>114</v>
      </c>
    </row>
    <row r="7" spans="1:5" x14ac:dyDescent="0.2">
      <c r="A7" s="8"/>
      <c r="B7" t="s">
        <v>115</v>
      </c>
    </row>
    <row r="8" spans="1:5" x14ac:dyDescent="0.2">
      <c r="A8" s="8"/>
      <c r="B8" t="s">
        <v>116</v>
      </c>
    </row>
    <row r="9" spans="1:5" x14ac:dyDescent="0.2">
      <c r="A9" s="8" t="s">
        <v>117</v>
      </c>
    </row>
    <row r="10" spans="1:5" x14ac:dyDescent="0.2">
      <c r="B10" t="s">
        <v>118</v>
      </c>
    </row>
    <row r="11" spans="1:5" x14ac:dyDescent="0.2">
      <c r="B11" t="s">
        <v>119</v>
      </c>
    </row>
    <row r="14" spans="1:5" ht="17" thickBot="1" x14ac:dyDescent="0.25">
      <c r="A14" t="s">
        <v>120</v>
      </c>
    </row>
    <row r="15" spans="1:5" ht="17" thickBot="1" x14ac:dyDescent="0.25">
      <c r="B15" s="9" t="s">
        <v>52</v>
      </c>
      <c r="C15" s="9" t="s">
        <v>53</v>
      </c>
      <c r="D15" s="9" t="s">
        <v>121</v>
      </c>
      <c r="E15" s="9" t="s">
        <v>122</v>
      </c>
    </row>
    <row r="16" spans="1:5" ht="17" thickBot="1" x14ac:dyDescent="0.25">
      <c r="B16" s="15" t="s">
        <v>125</v>
      </c>
      <c r="C16" s="15" t="s">
        <v>126</v>
      </c>
      <c r="D16" s="15">
        <v>15</v>
      </c>
      <c r="E16" s="15">
        <v>15</v>
      </c>
    </row>
    <row r="19" spans="1:6" ht="17" thickBot="1" x14ac:dyDescent="0.25">
      <c r="A19" t="s">
        <v>123</v>
      </c>
    </row>
    <row r="20" spans="1:6" ht="17" thickBot="1" x14ac:dyDescent="0.25">
      <c r="B20" s="9" t="s">
        <v>52</v>
      </c>
      <c r="C20" s="9" t="s">
        <v>53</v>
      </c>
      <c r="D20" s="9" t="s">
        <v>121</v>
      </c>
      <c r="E20" s="9" t="s">
        <v>122</v>
      </c>
      <c r="F20" s="9" t="s">
        <v>124</v>
      </c>
    </row>
    <row r="21" spans="1:6" x14ac:dyDescent="0.2">
      <c r="B21" s="16" t="s">
        <v>127</v>
      </c>
      <c r="C21" s="16" t="s">
        <v>128</v>
      </c>
      <c r="D21" s="16">
        <v>0</v>
      </c>
      <c r="E21" s="16">
        <v>0</v>
      </c>
      <c r="F21" s="16" t="s">
        <v>296</v>
      </c>
    </row>
    <row r="22" spans="1:6" x14ac:dyDescent="0.2">
      <c r="B22" s="16" t="s">
        <v>129</v>
      </c>
      <c r="C22" s="16" t="s">
        <v>130</v>
      </c>
      <c r="D22" s="16">
        <v>0</v>
      </c>
      <c r="E22" s="16">
        <v>0</v>
      </c>
      <c r="F22" s="16" t="s">
        <v>296</v>
      </c>
    </row>
    <row r="23" spans="1:6" x14ac:dyDescent="0.2">
      <c r="B23" s="16" t="s">
        <v>131</v>
      </c>
      <c r="C23" s="16" t="s">
        <v>132</v>
      </c>
      <c r="D23" s="16">
        <v>0</v>
      </c>
      <c r="E23" s="16">
        <v>0</v>
      </c>
      <c r="F23" s="16" t="s">
        <v>296</v>
      </c>
    </row>
    <row r="24" spans="1:6" x14ac:dyDescent="0.2">
      <c r="B24" s="16" t="s">
        <v>133</v>
      </c>
      <c r="C24" s="16" t="s">
        <v>134</v>
      </c>
      <c r="D24" s="16">
        <v>0</v>
      </c>
      <c r="E24" s="16">
        <v>0</v>
      </c>
      <c r="F24" s="16" t="s">
        <v>296</v>
      </c>
    </row>
    <row r="25" spans="1:6" x14ac:dyDescent="0.2">
      <c r="B25" s="16" t="s">
        <v>135</v>
      </c>
      <c r="C25" s="16" t="s">
        <v>136</v>
      </c>
      <c r="D25" s="16">
        <v>0</v>
      </c>
      <c r="E25" s="16">
        <v>0</v>
      </c>
      <c r="F25" s="16" t="s">
        <v>296</v>
      </c>
    </row>
    <row r="26" spans="1:6" x14ac:dyDescent="0.2">
      <c r="B26" s="16" t="s">
        <v>137</v>
      </c>
      <c r="C26" s="16" t="s">
        <v>138</v>
      </c>
      <c r="D26" s="16">
        <v>0</v>
      </c>
      <c r="E26" s="16">
        <v>0</v>
      </c>
      <c r="F26" s="16" t="s">
        <v>296</v>
      </c>
    </row>
    <row r="27" spans="1:6" x14ac:dyDescent="0.2">
      <c r="B27" s="16" t="s">
        <v>139</v>
      </c>
      <c r="C27" s="16" t="s">
        <v>140</v>
      </c>
      <c r="D27" s="16">
        <v>0</v>
      </c>
      <c r="E27" s="16">
        <v>0</v>
      </c>
      <c r="F27" s="16" t="s">
        <v>296</v>
      </c>
    </row>
    <row r="28" spans="1:6" x14ac:dyDescent="0.2">
      <c r="B28" s="16" t="s">
        <v>141</v>
      </c>
      <c r="C28" s="16" t="s">
        <v>142</v>
      </c>
      <c r="D28" s="16">
        <v>0</v>
      </c>
      <c r="E28" s="16">
        <v>0</v>
      </c>
      <c r="F28" s="16" t="s">
        <v>296</v>
      </c>
    </row>
    <row r="29" spans="1:6" x14ac:dyDescent="0.2">
      <c r="B29" s="16" t="s">
        <v>143</v>
      </c>
      <c r="C29" s="16" t="s">
        <v>144</v>
      </c>
      <c r="D29" s="16">
        <v>0</v>
      </c>
      <c r="E29" s="16">
        <v>0</v>
      </c>
      <c r="F29" s="16" t="s">
        <v>296</v>
      </c>
    </row>
    <row r="30" spans="1:6" x14ac:dyDescent="0.2">
      <c r="B30" s="16" t="s">
        <v>145</v>
      </c>
      <c r="C30" s="16" t="s">
        <v>146</v>
      </c>
      <c r="D30" s="16">
        <v>0</v>
      </c>
      <c r="E30" s="16">
        <v>0</v>
      </c>
      <c r="F30" s="16" t="s">
        <v>296</v>
      </c>
    </row>
    <row r="31" spans="1:6" x14ac:dyDescent="0.2">
      <c r="B31" s="16" t="s">
        <v>147</v>
      </c>
      <c r="C31" s="16" t="s">
        <v>148</v>
      </c>
      <c r="D31" s="16">
        <v>1</v>
      </c>
      <c r="E31" s="16">
        <v>1</v>
      </c>
      <c r="F31" s="16" t="s">
        <v>296</v>
      </c>
    </row>
    <row r="32" spans="1:6" x14ac:dyDescent="0.2">
      <c r="B32" s="16" t="s">
        <v>149</v>
      </c>
      <c r="C32" s="16" t="s">
        <v>150</v>
      </c>
      <c r="D32" s="16">
        <v>1</v>
      </c>
      <c r="E32" s="16">
        <v>1</v>
      </c>
      <c r="F32" s="16" t="s">
        <v>296</v>
      </c>
    </row>
    <row r="33" spans="2:6" x14ac:dyDescent="0.2">
      <c r="B33" s="16" t="s">
        <v>151</v>
      </c>
      <c r="C33" s="16" t="s">
        <v>152</v>
      </c>
      <c r="D33" s="16">
        <v>1</v>
      </c>
      <c r="E33" s="16">
        <v>1</v>
      </c>
      <c r="F33" s="16" t="s">
        <v>296</v>
      </c>
    </row>
    <row r="34" spans="2:6" x14ac:dyDescent="0.2">
      <c r="B34" s="16" t="s">
        <v>153</v>
      </c>
      <c r="C34" s="16" t="s">
        <v>154</v>
      </c>
      <c r="D34" s="16">
        <v>1</v>
      </c>
      <c r="E34" s="16">
        <v>1</v>
      </c>
      <c r="F34" s="16" t="s">
        <v>296</v>
      </c>
    </row>
    <row r="35" spans="2:6" x14ac:dyDescent="0.2">
      <c r="B35" s="16" t="s">
        <v>155</v>
      </c>
      <c r="C35" s="16" t="s">
        <v>156</v>
      </c>
      <c r="D35" s="16">
        <v>1</v>
      </c>
      <c r="E35" s="16">
        <v>1</v>
      </c>
      <c r="F35" s="16" t="s">
        <v>296</v>
      </c>
    </row>
    <row r="36" spans="2:6" x14ac:dyDescent="0.2">
      <c r="B36" s="16" t="s">
        <v>157</v>
      </c>
      <c r="C36" s="16" t="s">
        <v>158</v>
      </c>
      <c r="D36" s="16">
        <v>1</v>
      </c>
      <c r="E36" s="16">
        <v>1</v>
      </c>
      <c r="F36" s="16" t="s">
        <v>296</v>
      </c>
    </row>
    <row r="37" spans="2:6" x14ac:dyDescent="0.2">
      <c r="B37" s="16" t="s">
        <v>159</v>
      </c>
      <c r="C37" s="16" t="s">
        <v>160</v>
      </c>
      <c r="D37" s="16">
        <v>1</v>
      </c>
      <c r="E37" s="16">
        <v>1</v>
      </c>
      <c r="F37" s="16" t="s">
        <v>296</v>
      </c>
    </row>
    <row r="38" spans="2:6" x14ac:dyDescent="0.2">
      <c r="B38" s="16" t="s">
        <v>161</v>
      </c>
      <c r="C38" s="16" t="s">
        <v>162</v>
      </c>
      <c r="D38" s="16">
        <v>1</v>
      </c>
      <c r="E38" s="16">
        <v>1</v>
      </c>
      <c r="F38" s="16" t="s">
        <v>296</v>
      </c>
    </row>
    <row r="39" spans="2:6" x14ac:dyDescent="0.2">
      <c r="B39" s="16" t="s">
        <v>163</v>
      </c>
      <c r="C39" s="16" t="s">
        <v>164</v>
      </c>
      <c r="D39" s="16">
        <v>1</v>
      </c>
      <c r="E39" s="16">
        <v>1</v>
      </c>
      <c r="F39" s="16" t="s">
        <v>296</v>
      </c>
    </row>
    <row r="40" spans="2:6" x14ac:dyDescent="0.2">
      <c r="B40" s="16" t="s">
        <v>165</v>
      </c>
      <c r="C40" s="16" t="s">
        <v>166</v>
      </c>
      <c r="D40" s="16">
        <v>1</v>
      </c>
      <c r="E40" s="16">
        <v>1</v>
      </c>
      <c r="F40" s="16" t="s">
        <v>296</v>
      </c>
    </row>
    <row r="41" spans="2:6" x14ac:dyDescent="0.2">
      <c r="B41" s="16" t="s">
        <v>167</v>
      </c>
      <c r="C41" s="16" t="s">
        <v>168</v>
      </c>
      <c r="D41" s="16">
        <v>0</v>
      </c>
      <c r="E41" s="16">
        <v>0</v>
      </c>
      <c r="F41" s="16" t="s">
        <v>296</v>
      </c>
    </row>
    <row r="42" spans="2:6" x14ac:dyDescent="0.2">
      <c r="B42" s="16" t="s">
        <v>169</v>
      </c>
      <c r="C42" s="16" t="s">
        <v>170</v>
      </c>
      <c r="D42" s="16">
        <v>0</v>
      </c>
      <c r="E42" s="16">
        <v>0</v>
      </c>
      <c r="F42" s="16" t="s">
        <v>296</v>
      </c>
    </row>
    <row r="43" spans="2:6" x14ac:dyDescent="0.2">
      <c r="B43" s="16" t="s">
        <v>171</v>
      </c>
      <c r="C43" s="16" t="s">
        <v>172</v>
      </c>
      <c r="D43" s="16">
        <v>0</v>
      </c>
      <c r="E43" s="16">
        <v>0</v>
      </c>
      <c r="F43" s="16" t="s">
        <v>296</v>
      </c>
    </row>
    <row r="44" spans="2:6" x14ac:dyDescent="0.2">
      <c r="B44" s="16" t="s">
        <v>173</v>
      </c>
      <c r="C44" s="16" t="s">
        <v>174</v>
      </c>
      <c r="D44" s="16">
        <v>0</v>
      </c>
      <c r="E44" s="16">
        <v>0</v>
      </c>
      <c r="F44" s="16" t="s">
        <v>296</v>
      </c>
    </row>
    <row r="45" spans="2:6" x14ac:dyDescent="0.2">
      <c r="B45" s="16" t="s">
        <v>175</v>
      </c>
      <c r="C45" s="16" t="s">
        <v>176</v>
      </c>
      <c r="D45" s="16">
        <v>0</v>
      </c>
      <c r="E45" s="16">
        <v>0</v>
      </c>
      <c r="F45" s="16" t="s">
        <v>296</v>
      </c>
    </row>
    <row r="46" spans="2:6" x14ac:dyDescent="0.2">
      <c r="B46" s="16" t="s">
        <v>177</v>
      </c>
      <c r="C46" s="16" t="s">
        <v>178</v>
      </c>
      <c r="D46" s="16">
        <v>0</v>
      </c>
      <c r="E46" s="16">
        <v>0</v>
      </c>
      <c r="F46" s="16" t="s">
        <v>296</v>
      </c>
    </row>
    <row r="47" spans="2:6" x14ac:dyDescent="0.2">
      <c r="B47" s="16" t="s">
        <v>179</v>
      </c>
      <c r="C47" s="16" t="s">
        <v>180</v>
      </c>
      <c r="D47" s="16">
        <v>0</v>
      </c>
      <c r="E47" s="16">
        <v>0</v>
      </c>
      <c r="F47" s="16" t="s">
        <v>296</v>
      </c>
    </row>
    <row r="48" spans="2:6" x14ac:dyDescent="0.2">
      <c r="B48" s="16" t="s">
        <v>181</v>
      </c>
      <c r="C48" s="16" t="s">
        <v>182</v>
      </c>
      <c r="D48" s="16">
        <v>0</v>
      </c>
      <c r="E48" s="16">
        <v>0</v>
      </c>
      <c r="F48" s="16" t="s">
        <v>296</v>
      </c>
    </row>
    <row r="49" spans="2:6" x14ac:dyDescent="0.2">
      <c r="B49" s="16" t="s">
        <v>183</v>
      </c>
      <c r="C49" s="16" t="s">
        <v>184</v>
      </c>
      <c r="D49" s="16">
        <v>0</v>
      </c>
      <c r="E49" s="16">
        <v>0</v>
      </c>
      <c r="F49" s="16" t="s">
        <v>296</v>
      </c>
    </row>
    <row r="50" spans="2:6" x14ac:dyDescent="0.2">
      <c r="B50" s="16" t="s">
        <v>185</v>
      </c>
      <c r="C50" s="16" t="s">
        <v>186</v>
      </c>
      <c r="D50" s="16">
        <v>0</v>
      </c>
      <c r="E50" s="16">
        <v>0</v>
      </c>
      <c r="F50" s="16" t="s">
        <v>296</v>
      </c>
    </row>
    <row r="51" spans="2:6" x14ac:dyDescent="0.2">
      <c r="B51" s="16" t="s">
        <v>187</v>
      </c>
      <c r="C51" s="16" t="s">
        <v>188</v>
      </c>
      <c r="D51" s="16">
        <v>0</v>
      </c>
      <c r="E51" s="16">
        <v>0</v>
      </c>
      <c r="F51" s="16" t="s">
        <v>296</v>
      </c>
    </row>
    <row r="52" spans="2:6" x14ac:dyDescent="0.2">
      <c r="B52" s="16" t="s">
        <v>189</v>
      </c>
      <c r="C52" s="16" t="s">
        <v>190</v>
      </c>
      <c r="D52" s="16">
        <v>0</v>
      </c>
      <c r="E52" s="16">
        <v>0</v>
      </c>
      <c r="F52" s="16" t="s">
        <v>296</v>
      </c>
    </row>
    <row r="53" spans="2:6" x14ac:dyDescent="0.2">
      <c r="B53" s="16" t="s">
        <v>191</v>
      </c>
      <c r="C53" s="16" t="s">
        <v>192</v>
      </c>
      <c r="D53" s="16">
        <v>0</v>
      </c>
      <c r="E53" s="16">
        <v>0</v>
      </c>
      <c r="F53" s="16" t="s">
        <v>296</v>
      </c>
    </row>
    <row r="54" spans="2:6" x14ac:dyDescent="0.2">
      <c r="B54" s="16" t="s">
        <v>193</v>
      </c>
      <c r="C54" s="16" t="s">
        <v>194</v>
      </c>
      <c r="D54" s="16">
        <v>0</v>
      </c>
      <c r="E54" s="16">
        <v>0</v>
      </c>
      <c r="F54" s="16" t="s">
        <v>296</v>
      </c>
    </row>
    <row r="55" spans="2:6" x14ac:dyDescent="0.2">
      <c r="B55" s="16" t="s">
        <v>195</v>
      </c>
      <c r="C55" s="16" t="s">
        <v>196</v>
      </c>
      <c r="D55" s="16">
        <v>0</v>
      </c>
      <c r="E55" s="16">
        <v>0</v>
      </c>
      <c r="F55" s="16" t="s">
        <v>296</v>
      </c>
    </row>
    <row r="56" spans="2:6" x14ac:dyDescent="0.2">
      <c r="B56" s="16" t="s">
        <v>197</v>
      </c>
      <c r="C56" s="16" t="s">
        <v>198</v>
      </c>
      <c r="D56" s="16">
        <v>0</v>
      </c>
      <c r="E56" s="16">
        <v>0</v>
      </c>
      <c r="F56" s="16" t="s">
        <v>296</v>
      </c>
    </row>
    <row r="57" spans="2:6" x14ac:dyDescent="0.2">
      <c r="B57" s="16" t="s">
        <v>199</v>
      </c>
      <c r="C57" s="16" t="s">
        <v>200</v>
      </c>
      <c r="D57" s="16">
        <v>0</v>
      </c>
      <c r="E57" s="16">
        <v>0</v>
      </c>
      <c r="F57" s="16" t="s">
        <v>296</v>
      </c>
    </row>
    <row r="58" spans="2:6" x14ac:dyDescent="0.2">
      <c r="B58" s="16" t="s">
        <v>201</v>
      </c>
      <c r="C58" s="16" t="s">
        <v>202</v>
      </c>
      <c r="D58" s="16">
        <v>0</v>
      </c>
      <c r="E58" s="16">
        <v>0</v>
      </c>
      <c r="F58" s="16" t="s">
        <v>296</v>
      </c>
    </row>
    <row r="59" spans="2:6" x14ac:dyDescent="0.2">
      <c r="B59" s="16" t="s">
        <v>203</v>
      </c>
      <c r="C59" s="16" t="s">
        <v>204</v>
      </c>
      <c r="D59" s="16">
        <v>1</v>
      </c>
      <c r="E59" s="16">
        <v>1</v>
      </c>
      <c r="F59" s="16" t="s">
        <v>296</v>
      </c>
    </row>
    <row r="60" spans="2:6" x14ac:dyDescent="0.2">
      <c r="B60" s="16" t="s">
        <v>205</v>
      </c>
      <c r="C60" s="16" t="s">
        <v>206</v>
      </c>
      <c r="D60" s="16">
        <v>1</v>
      </c>
      <c r="E60" s="16">
        <v>1</v>
      </c>
      <c r="F60" s="16" t="s">
        <v>296</v>
      </c>
    </row>
    <row r="61" spans="2:6" x14ac:dyDescent="0.2">
      <c r="B61" s="16" t="s">
        <v>207</v>
      </c>
      <c r="C61" s="16" t="s">
        <v>208</v>
      </c>
      <c r="D61" s="16">
        <v>0</v>
      </c>
      <c r="E61" s="16">
        <v>0</v>
      </c>
      <c r="F61" s="16" t="s">
        <v>296</v>
      </c>
    </row>
    <row r="62" spans="2:6" x14ac:dyDescent="0.2">
      <c r="B62" s="16" t="s">
        <v>209</v>
      </c>
      <c r="C62" s="16" t="s">
        <v>210</v>
      </c>
      <c r="D62" s="16">
        <v>0</v>
      </c>
      <c r="E62" s="16">
        <v>0</v>
      </c>
      <c r="F62" s="16" t="s">
        <v>296</v>
      </c>
    </row>
    <row r="63" spans="2:6" x14ac:dyDescent="0.2">
      <c r="B63" s="16" t="s">
        <v>211</v>
      </c>
      <c r="C63" s="16" t="s">
        <v>212</v>
      </c>
      <c r="D63" s="16">
        <v>0</v>
      </c>
      <c r="E63" s="16">
        <v>0</v>
      </c>
      <c r="F63" s="16" t="s">
        <v>296</v>
      </c>
    </row>
    <row r="64" spans="2:6" x14ac:dyDescent="0.2">
      <c r="B64" s="16" t="s">
        <v>213</v>
      </c>
      <c r="C64" s="16" t="s">
        <v>214</v>
      </c>
      <c r="D64" s="16">
        <v>0</v>
      </c>
      <c r="E64" s="16">
        <v>0</v>
      </c>
      <c r="F64" s="16" t="s">
        <v>296</v>
      </c>
    </row>
    <row r="65" spans="2:6" x14ac:dyDescent="0.2">
      <c r="B65" s="16" t="s">
        <v>215</v>
      </c>
      <c r="C65" s="16" t="s">
        <v>216</v>
      </c>
      <c r="D65" s="16">
        <v>0</v>
      </c>
      <c r="E65" s="16">
        <v>0</v>
      </c>
      <c r="F65" s="16" t="s">
        <v>296</v>
      </c>
    </row>
    <row r="66" spans="2:6" x14ac:dyDescent="0.2">
      <c r="B66" s="16" t="s">
        <v>217</v>
      </c>
      <c r="C66" s="16" t="s">
        <v>218</v>
      </c>
      <c r="D66" s="16">
        <v>0</v>
      </c>
      <c r="E66" s="16">
        <v>0</v>
      </c>
      <c r="F66" s="16" t="s">
        <v>296</v>
      </c>
    </row>
    <row r="67" spans="2:6" x14ac:dyDescent="0.2">
      <c r="B67" s="16" t="s">
        <v>219</v>
      </c>
      <c r="C67" s="16" t="s">
        <v>220</v>
      </c>
      <c r="D67" s="16">
        <v>0</v>
      </c>
      <c r="E67" s="16">
        <v>0</v>
      </c>
      <c r="F67" s="16" t="s">
        <v>296</v>
      </c>
    </row>
    <row r="68" spans="2:6" x14ac:dyDescent="0.2">
      <c r="B68" s="16" t="s">
        <v>221</v>
      </c>
      <c r="C68" s="16" t="s">
        <v>222</v>
      </c>
      <c r="D68" s="16">
        <v>0</v>
      </c>
      <c r="E68" s="16">
        <v>0</v>
      </c>
      <c r="F68" s="16" t="s">
        <v>296</v>
      </c>
    </row>
    <row r="69" spans="2:6" x14ac:dyDescent="0.2">
      <c r="B69" s="16" t="s">
        <v>223</v>
      </c>
      <c r="C69" s="16" t="s">
        <v>224</v>
      </c>
      <c r="D69" s="16">
        <v>0</v>
      </c>
      <c r="E69" s="16">
        <v>0</v>
      </c>
      <c r="F69" s="16" t="s">
        <v>296</v>
      </c>
    </row>
    <row r="70" spans="2:6" x14ac:dyDescent="0.2">
      <c r="B70" s="16" t="s">
        <v>225</v>
      </c>
      <c r="C70" s="16" t="s">
        <v>226</v>
      </c>
      <c r="D70" s="16">
        <v>0</v>
      </c>
      <c r="E70" s="16">
        <v>0</v>
      </c>
      <c r="F70" s="16" t="s">
        <v>296</v>
      </c>
    </row>
    <row r="71" spans="2:6" x14ac:dyDescent="0.2">
      <c r="B71" s="16" t="s">
        <v>227</v>
      </c>
      <c r="C71" s="16" t="s">
        <v>228</v>
      </c>
      <c r="D71" s="16">
        <v>1</v>
      </c>
      <c r="E71" s="16">
        <v>1</v>
      </c>
      <c r="F71" s="16" t="s">
        <v>296</v>
      </c>
    </row>
    <row r="72" spans="2:6" x14ac:dyDescent="0.2">
      <c r="B72" s="16" t="s">
        <v>229</v>
      </c>
      <c r="C72" s="16" t="s">
        <v>230</v>
      </c>
      <c r="D72" s="16">
        <v>1</v>
      </c>
      <c r="E72" s="16">
        <v>1</v>
      </c>
      <c r="F72" s="16" t="s">
        <v>296</v>
      </c>
    </row>
    <row r="73" spans="2:6" x14ac:dyDescent="0.2">
      <c r="B73" s="16" t="s">
        <v>231</v>
      </c>
      <c r="C73" s="16" t="s">
        <v>232</v>
      </c>
      <c r="D73" s="16">
        <v>1</v>
      </c>
      <c r="E73" s="16">
        <v>1</v>
      </c>
      <c r="F73" s="16" t="s">
        <v>296</v>
      </c>
    </row>
    <row r="74" spans="2:6" x14ac:dyDescent="0.2">
      <c r="B74" s="16" t="s">
        <v>233</v>
      </c>
      <c r="C74" s="16" t="s">
        <v>234</v>
      </c>
      <c r="D74" s="16">
        <v>0</v>
      </c>
      <c r="E74" s="16">
        <v>0</v>
      </c>
      <c r="F74" s="16" t="s">
        <v>296</v>
      </c>
    </row>
    <row r="75" spans="2:6" x14ac:dyDescent="0.2">
      <c r="B75" s="16" t="s">
        <v>235</v>
      </c>
      <c r="C75" s="16" t="s">
        <v>236</v>
      </c>
      <c r="D75" s="16">
        <v>0</v>
      </c>
      <c r="E75" s="16">
        <v>0</v>
      </c>
      <c r="F75" s="16" t="s">
        <v>296</v>
      </c>
    </row>
    <row r="76" spans="2:6" x14ac:dyDescent="0.2">
      <c r="B76" s="16" t="s">
        <v>237</v>
      </c>
      <c r="C76" s="16" t="s">
        <v>238</v>
      </c>
      <c r="D76" s="16">
        <v>0</v>
      </c>
      <c r="E76" s="16">
        <v>0</v>
      </c>
      <c r="F76" s="16" t="s">
        <v>296</v>
      </c>
    </row>
    <row r="77" spans="2:6" x14ac:dyDescent="0.2">
      <c r="B77" s="16" t="s">
        <v>239</v>
      </c>
      <c r="C77" s="16" t="s">
        <v>240</v>
      </c>
      <c r="D77" s="16">
        <v>0</v>
      </c>
      <c r="E77" s="16">
        <v>0</v>
      </c>
      <c r="F77" s="16" t="s">
        <v>296</v>
      </c>
    </row>
    <row r="78" spans="2:6" x14ac:dyDescent="0.2">
      <c r="B78" s="16" t="s">
        <v>241</v>
      </c>
      <c r="C78" s="16" t="s">
        <v>242</v>
      </c>
      <c r="D78" s="16">
        <v>0</v>
      </c>
      <c r="E78" s="16">
        <v>0</v>
      </c>
      <c r="F78" s="16" t="s">
        <v>296</v>
      </c>
    </row>
    <row r="79" spans="2:6" x14ac:dyDescent="0.2">
      <c r="B79" s="16" t="s">
        <v>243</v>
      </c>
      <c r="C79" s="16" t="s">
        <v>244</v>
      </c>
      <c r="D79" s="16">
        <v>0</v>
      </c>
      <c r="E79" s="16">
        <v>0</v>
      </c>
      <c r="F79" s="16" t="s">
        <v>296</v>
      </c>
    </row>
    <row r="80" spans="2:6" ht="17" thickBot="1" x14ac:dyDescent="0.25">
      <c r="B80" s="15" t="s">
        <v>245</v>
      </c>
      <c r="C80" s="15" t="s">
        <v>246</v>
      </c>
      <c r="D80" s="15">
        <v>0</v>
      </c>
      <c r="E80" s="15">
        <v>0</v>
      </c>
      <c r="F80" s="15" t="s">
        <v>296</v>
      </c>
    </row>
    <row r="83" spans="1:7" ht="17" thickBot="1" x14ac:dyDescent="0.25">
      <c r="A83" t="s">
        <v>26</v>
      </c>
    </row>
    <row r="84" spans="1:7" ht="17" thickBot="1" x14ac:dyDescent="0.25">
      <c r="B84" s="9" t="s">
        <v>52</v>
      </c>
      <c r="C84" s="9" t="s">
        <v>53</v>
      </c>
      <c r="D84" s="9" t="s">
        <v>54</v>
      </c>
      <c r="E84" s="9" t="s">
        <v>55</v>
      </c>
      <c r="F84" s="9" t="s">
        <v>56</v>
      </c>
      <c r="G84" s="9" t="s">
        <v>57</v>
      </c>
    </row>
    <row r="85" spans="1:7" x14ac:dyDescent="0.2">
      <c r="B85" s="16" t="s">
        <v>58</v>
      </c>
      <c r="C85" s="16" t="s">
        <v>59</v>
      </c>
      <c r="D85" s="16">
        <v>15</v>
      </c>
      <c r="E85" s="16" t="s">
        <v>247</v>
      </c>
      <c r="F85" s="16" t="s">
        <v>61</v>
      </c>
      <c r="G85" s="16">
        <v>0</v>
      </c>
    </row>
    <row r="86" spans="1:7" x14ac:dyDescent="0.2">
      <c r="B86" s="16" t="s">
        <v>74</v>
      </c>
      <c r="C86" s="16" t="s">
        <v>75</v>
      </c>
      <c r="D86" s="16">
        <v>1</v>
      </c>
      <c r="E86" s="16" t="s">
        <v>76</v>
      </c>
      <c r="F86" s="16" t="s">
        <v>61</v>
      </c>
      <c r="G86" s="16">
        <v>0</v>
      </c>
    </row>
    <row r="87" spans="1:7" x14ac:dyDescent="0.2">
      <c r="B87" s="16" t="s">
        <v>77</v>
      </c>
      <c r="C87" s="16" t="s">
        <v>78</v>
      </c>
      <c r="D87" s="16">
        <v>1</v>
      </c>
      <c r="E87" s="16" t="s">
        <v>79</v>
      </c>
      <c r="F87" s="16" t="s">
        <v>61</v>
      </c>
      <c r="G87" s="16">
        <v>0</v>
      </c>
    </row>
    <row r="88" spans="1:7" x14ac:dyDescent="0.2">
      <c r="B88" s="16" t="s">
        <v>80</v>
      </c>
      <c r="C88" s="16" t="s">
        <v>81</v>
      </c>
      <c r="D88" s="16">
        <v>1</v>
      </c>
      <c r="E88" s="16" t="s">
        <v>82</v>
      </c>
      <c r="F88" s="16" t="s">
        <v>61</v>
      </c>
      <c r="G88" s="16">
        <v>0</v>
      </c>
    </row>
    <row r="89" spans="1:7" x14ac:dyDescent="0.2">
      <c r="B89" s="16" t="s">
        <v>83</v>
      </c>
      <c r="C89" s="16" t="s">
        <v>84</v>
      </c>
      <c r="D89" s="16">
        <v>1</v>
      </c>
      <c r="E89" s="16" t="s">
        <v>85</v>
      </c>
      <c r="F89" s="16" t="s">
        <v>61</v>
      </c>
      <c r="G89" s="16">
        <v>0</v>
      </c>
    </row>
    <row r="90" spans="1:7" x14ac:dyDescent="0.2">
      <c r="B90" s="16" t="s">
        <v>86</v>
      </c>
      <c r="C90" s="16" t="s">
        <v>87</v>
      </c>
      <c r="D90" s="16">
        <v>1</v>
      </c>
      <c r="E90" s="16" t="s">
        <v>88</v>
      </c>
      <c r="F90" s="16" t="s">
        <v>61</v>
      </c>
      <c r="G90" s="16">
        <v>0</v>
      </c>
    </row>
    <row r="91" spans="1:7" x14ac:dyDescent="0.2">
      <c r="B91" s="16" t="s">
        <v>248</v>
      </c>
      <c r="C91" s="16" t="s">
        <v>249</v>
      </c>
      <c r="D91" s="16">
        <v>1</v>
      </c>
      <c r="E91" s="16" t="s">
        <v>250</v>
      </c>
      <c r="F91" s="16" t="s">
        <v>61</v>
      </c>
      <c r="G91" s="16">
        <v>0</v>
      </c>
    </row>
    <row r="92" spans="1:7" x14ac:dyDescent="0.2">
      <c r="B92" s="16" t="s">
        <v>251</v>
      </c>
      <c r="C92" s="16" t="s">
        <v>252</v>
      </c>
      <c r="D92" s="16">
        <v>1</v>
      </c>
      <c r="E92" s="16" t="s">
        <v>253</v>
      </c>
      <c r="F92" s="16" t="s">
        <v>61</v>
      </c>
      <c r="G92" s="16">
        <v>0</v>
      </c>
    </row>
    <row r="93" spans="1:7" x14ac:dyDescent="0.2">
      <c r="B93" s="16" t="s">
        <v>254</v>
      </c>
      <c r="C93" s="16" t="s">
        <v>255</v>
      </c>
      <c r="D93" s="16">
        <v>1</v>
      </c>
      <c r="E93" s="16" t="s">
        <v>256</v>
      </c>
      <c r="F93" s="16" t="s">
        <v>61</v>
      </c>
      <c r="G93" s="16">
        <v>0</v>
      </c>
    </row>
    <row r="94" spans="1:7" x14ac:dyDescent="0.2">
      <c r="B94" s="16" t="s">
        <v>257</v>
      </c>
      <c r="C94" s="16" t="s">
        <v>258</v>
      </c>
      <c r="D94" s="16">
        <v>1</v>
      </c>
      <c r="E94" s="16" t="s">
        <v>259</v>
      </c>
      <c r="F94" s="16" t="s">
        <v>61</v>
      </c>
      <c r="G94" s="16">
        <v>0</v>
      </c>
    </row>
    <row r="95" spans="1:7" x14ac:dyDescent="0.2">
      <c r="B95" s="16" t="s">
        <v>260</v>
      </c>
      <c r="C95" s="16" t="s">
        <v>261</v>
      </c>
      <c r="D95" s="16">
        <v>1</v>
      </c>
      <c r="E95" s="16" t="s">
        <v>262</v>
      </c>
      <c r="F95" s="16" t="s">
        <v>61</v>
      </c>
      <c r="G95" s="16">
        <v>0</v>
      </c>
    </row>
    <row r="96" spans="1:7" x14ac:dyDescent="0.2">
      <c r="B96" s="16" t="s">
        <v>263</v>
      </c>
      <c r="C96" s="16" t="s">
        <v>264</v>
      </c>
      <c r="D96" s="16">
        <v>1</v>
      </c>
      <c r="E96" s="16" t="s">
        <v>265</v>
      </c>
      <c r="F96" s="16" t="s">
        <v>61</v>
      </c>
      <c r="G96" s="16">
        <v>0</v>
      </c>
    </row>
    <row r="97" spans="2:7" x14ac:dyDescent="0.2">
      <c r="B97" s="16" t="s">
        <v>266</v>
      </c>
      <c r="C97" s="16" t="s">
        <v>267</v>
      </c>
      <c r="D97" s="16">
        <v>1</v>
      </c>
      <c r="E97" s="16" t="s">
        <v>268</v>
      </c>
      <c r="F97" s="16" t="s">
        <v>61</v>
      </c>
      <c r="G97" s="16">
        <v>0</v>
      </c>
    </row>
    <row r="98" spans="2:7" x14ac:dyDescent="0.2">
      <c r="B98" s="16" t="s">
        <v>269</v>
      </c>
      <c r="C98" s="16" t="s">
        <v>270</v>
      </c>
      <c r="D98" s="16">
        <v>1</v>
      </c>
      <c r="E98" s="16" t="s">
        <v>271</v>
      </c>
      <c r="F98" s="16" t="s">
        <v>61</v>
      </c>
      <c r="G98" s="16">
        <v>0</v>
      </c>
    </row>
    <row r="99" spans="2:7" x14ac:dyDescent="0.2">
      <c r="B99" s="16" t="s">
        <v>272</v>
      </c>
      <c r="C99" s="16" t="s">
        <v>273</v>
      </c>
      <c r="D99" s="16">
        <v>1</v>
      </c>
      <c r="E99" s="16" t="s">
        <v>274</v>
      </c>
      <c r="F99" s="16" t="s">
        <v>61</v>
      </c>
      <c r="G99" s="16">
        <v>0</v>
      </c>
    </row>
    <row r="100" spans="2:7" x14ac:dyDescent="0.2">
      <c r="B100" s="16" t="s">
        <v>275</v>
      </c>
      <c r="C100" s="16" t="s">
        <v>276</v>
      </c>
      <c r="D100" s="16">
        <v>1</v>
      </c>
      <c r="E100" s="16" t="s">
        <v>277</v>
      </c>
      <c r="F100" s="16" t="s">
        <v>61</v>
      </c>
      <c r="G100" s="16">
        <v>0</v>
      </c>
    </row>
    <row r="101" spans="2:7" x14ac:dyDescent="0.2">
      <c r="B101" s="16" t="s">
        <v>89</v>
      </c>
      <c r="C101" s="16" t="s">
        <v>30</v>
      </c>
      <c r="D101" s="16">
        <v>1</v>
      </c>
      <c r="E101" s="16" t="s">
        <v>90</v>
      </c>
      <c r="F101" s="16" t="s">
        <v>61</v>
      </c>
      <c r="G101" s="16">
        <v>0</v>
      </c>
    </row>
    <row r="102" spans="2:7" x14ac:dyDescent="0.2">
      <c r="B102" s="16" t="s">
        <v>91</v>
      </c>
      <c r="C102" s="16" t="s">
        <v>7</v>
      </c>
      <c r="D102" s="16">
        <v>1</v>
      </c>
      <c r="E102" s="16" t="s">
        <v>92</v>
      </c>
      <c r="F102" s="16" t="s">
        <v>61</v>
      </c>
      <c r="G102" s="16">
        <v>0</v>
      </c>
    </row>
    <row r="103" spans="2:7" x14ac:dyDescent="0.2">
      <c r="B103" s="16" t="s">
        <v>93</v>
      </c>
      <c r="C103" s="16" t="s">
        <v>8</v>
      </c>
      <c r="D103" s="16">
        <v>1</v>
      </c>
      <c r="E103" s="16" t="s">
        <v>94</v>
      </c>
      <c r="F103" s="16" t="s">
        <v>61</v>
      </c>
      <c r="G103" s="16">
        <v>0</v>
      </c>
    </row>
    <row r="104" spans="2:7" x14ac:dyDescent="0.2">
      <c r="B104" s="16" t="s">
        <v>95</v>
      </c>
      <c r="C104" s="16" t="s">
        <v>9</v>
      </c>
      <c r="D104" s="16">
        <v>1</v>
      </c>
      <c r="E104" s="16" t="s">
        <v>96</v>
      </c>
      <c r="F104" s="16" t="s">
        <v>61</v>
      </c>
      <c r="G104" s="16">
        <v>0</v>
      </c>
    </row>
    <row r="105" spans="2:7" x14ac:dyDescent="0.2">
      <c r="B105" s="16" t="s">
        <v>97</v>
      </c>
      <c r="C105" s="16" t="s">
        <v>10</v>
      </c>
      <c r="D105" s="16">
        <v>1</v>
      </c>
      <c r="E105" s="16" t="s">
        <v>98</v>
      </c>
      <c r="F105" s="16" t="s">
        <v>61</v>
      </c>
      <c r="G105" s="16">
        <v>0</v>
      </c>
    </row>
    <row r="106" spans="2:7" x14ac:dyDescent="0.2">
      <c r="B106" s="16" t="s">
        <v>99</v>
      </c>
      <c r="C106" s="16" t="s">
        <v>31</v>
      </c>
      <c r="D106" s="16">
        <v>1</v>
      </c>
      <c r="E106" s="16" t="s">
        <v>100</v>
      </c>
      <c r="F106" s="16" t="s">
        <v>61</v>
      </c>
      <c r="G106" s="16">
        <v>0</v>
      </c>
    </row>
    <row r="107" spans="2:7" x14ac:dyDescent="0.2">
      <c r="B107" s="16" t="s">
        <v>101</v>
      </c>
      <c r="C107" s="16" t="s">
        <v>12</v>
      </c>
      <c r="D107" s="16">
        <v>1</v>
      </c>
      <c r="E107" s="16" t="s">
        <v>102</v>
      </c>
      <c r="F107" s="16" t="s">
        <v>61</v>
      </c>
      <c r="G107" s="16">
        <v>0</v>
      </c>
    </row>
    <row r="108" spans="2:7" x14ac:dyDescent="0.2">
      <c r="B108" s="16" t="s">
        <v>103</v>
      </c>
      <c r="C108" s="16" t="s">
        <v>13</v>
      </c>
      <c r="D108" s="16">
        <v>1</v>
      </c>
      <c r="E108" s="16" t="s">
        <v>104</v>
      </c>
      <c r="F108" s="16" t="s">
        <v>61</v>
      </c>
      <c r="G108" s="16">
        <v>0</v>
      </c>
    </row>
    <row r="109" spans="2:7" x14ac:dyDescent="0.2">
      <c r="B109" s="16" t="s">
        <v>105</v>
      </c>
      <c r="C109" s="16" t="s">
        <v>14</v>
      </c>
      <c r="D109" s="16">
        <v>1</v>
      </c>
      <c r="E109" s="16" t="s">
        <v>106</v>
      </c>
      <c r="F109" s="16" t="s">
        <v>61</v>
      </c>
      <c r="G109" s="16">
        <v>0</v>
      </c>
    </row>
    <row r="110" spans="2:7" x14ac:dyDescent="0.2">
      <c r="B110" s="16" t="s">
        <v>107</v>
      </c>
      <c r="C110" s="16" t="s">
        <v>15</v>
      </c>
      <c r="D110" s="16">
        <v>1</v>
      </c>
      <c r="E110" s="16" t="s">
        <v>108</v>
      </c>
      <c r="F110" s="16" t="s">
        <v>61</v>
      </c>
      <c r="G110" s="16">
        <v>0</v>
      </c>
    </row>
    <row r="111" spans="2:7" x14ac:dyDescent="0.2">
      <c r="B111" s="16" t="s">
        <v>278</v>
      </c>
      <c r="C111" s="16" t="s">
        <v>279</v>
      </c>
      <c r="D111" s="16">
        <v>5</v>
      </c>
      <c r="E111" s="16" t="s">
        <v>280</v>
      </c>
      <c r="F111" s="16" t="s">
        <v>61</v>
      </c>
      <c r="G111" s="16">
        <v>0</v>
      </c>
    </row>
    <row r="112" spans="2:7" x14ac:dyDescent="0.2">
      <c r="B112" s="16" t="s">
        <v>281</v>
      </c>
      <c r="C112" s="16" t="s">
        <v>282</v>
      </c>
      <c r="D112" s="16">
        <v>5</v>
      </c>
      <c r="E112" s="16" t="s">
        <v>283</v>
      </c>
      <c r="F112" s="16" t="s">
        <v>61</v>
      </c>
      <c r="G112" s="16">
        <v>0</v>
      </c>
    </row>
    <row r="113" spans="2:7" x14ac:dyDescent="0.2">
      <c r="B113" s="16" t="s">
        <v>284</v>
      </c>
      <c r="C113" s="16" t="s">
        <v>285</v>
      </c>
      <c r="D113" s="16">
        <v>2</v>
      </c>
      <c r="E113" s="16" t="s">
        <v>286</v>
      </c>
      <c r="F113" s="16" t="s">
        <v>287</v>
      </c>
      <c r="G113" s="16">
        <v>3</v>
      </c>
    </row>
    <row r="114" spans="2:7" x14ac:dyDescent="0.2">
      <c r="B114" s="16" t="s">
        <v>288</v>
      </c>
      <c r="C114" s="16" t="s">
        <v>289</v>
      </c>
      <c r="D114" s="16">
        <v>3</v>
      </c>
      <c r="E114" s="16" t="s">
        <v>290</v>
      </c>
      <c r="F114" s="16" t="s">
        <v>287</v>
      </c>
      <c r="G114" s="16">
        <v>2</v>
      </c>
    </row>
    <row r="115" spans="2:7" x14ac:dyDescent="0.2">
      <c r="B115" s="16" t="s">
        <v>278</v>
      </c>
      <c r="C115" s="16" t="s">
        <v>279</v>
      </c>
      <c r="D115" s="16">
        <v>5</v>
      </c>
      <c r="E115" s="16" t="s">
        <v>291</v>
      </c>
      <c r="F115" s="16" t="s">
        <v>287</v>
      </c>
      <c r="G115" s="16">
        <v>3</v>
      </c>
    </row>
    <row r="116" spans="2:7" x14ac:dyDescent="0.2">
      <c r="B116" s="16" t="s">
        <v>281</v>
      </c>
      <c r="C116" s="16" t="s">
        <v>282</v>
      </c>
      <c r="D116" s="16">
        <v>5</v>
      </c>
      <c r="E116" s="16" t="s">
        <v>292</v>
      </c>
      <c r="F116" s="16" t="s">
        <v>287</v>
      </c>
      <c r="G116" s="16">
        <v>3</v>
      </c>
    </row>
    <row r="117" spans="2:7" x14ac:dyDescent="0.2">
      <c r="B117" s="16" t="s">
        <v>284</v>
      </c>
      <c r="C117" s="16" t="s">
        <v>285</v>
      </c>
      <c r="D117" s="16">
        <v>2</v>
      </c>
      <c r="E117" s="16" t="s">
        <v>293</v>
      </c>
      <c r="F117" s="16" t="s">
        <v>61</v>
      </c>
      <c r="G117" s="16">
        <v>0</v>
      </c>
    </row>
    <row r="118" spans="2:7" x14ac:dyDescent="0.2">
      <c r="B118" s="16" t="s">
        <v>288</v>
      </c>
      <c r="C118" s="16" t="s">
        <v>289</v>
      </c>
      <c r="D118" s="16">
        <v>3</v>
      </c>
      <c r="E118" s="16" t="s">
        <v>294</v>
      </c>
      <c r="F118" s="16" t="s">
        <v>287</v>
      </c>
      <c r="G118" s="16">
        <v>1</v>
      </c>
    </row>
    <row r="119" spans="2:7" ht="17" thickBot="1" x14ac:dyDescent="0.25">
      <c r="B119" s="15" t="s">
        <v>295</v>
      </c>
      <c r="C119" s="15"/>
      <c r="D119" s="15"/>
      <c r="E119" s="15"/>
      <c r="F119" s="15"/>
      <c r="G119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D875-7461-4943-B742-2136B7FDFE09}">
  <dimension ref="A1:H106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15" bestFit="1" customWidth="1"/>
    <col min="4" max="4" width="5.83203125" bestFit="1" customWidth="1"/>
    <col min="5" max="5" width="8.33203125" bestFit="1" customWidth="1"/>
    <col min="6" max="6" width="10.5" bestFit="1" customWidth="1"/>
    <col min="7" max="8" width="9.1640625" bestFit="1" customWidth="1"/>
  </cols>
  <sheetData>
    <row r="1" spans="1:8" x14ac:dyDescent="0.2">
      <c r="A1" s="8" t="s">
        <v>297</v>
      </c>
    </row>
    <row r="2" spans="1:8" x14ac:dyDescent="0.2">
      <c r="A2" s="8" t="s">
        <v>49</v>
      </c>
    </row>
    <row r="3" spans="1:8" x14ac:dyDescent="0.2">
      <c r="A3" s="8" t="s">
        <v>298</v>
      </c>
    </row>
    <row r="6" spans="1:8" ht="17" thickBot="1" x14ac:dyDescent="0.25">
      <c r="A6" t="s">
        <v>123</v>
      </c>
    </row>
    <row r="7" spans="1:8" x14ac:dyDescent="0.2">
      <c r="B7" s="17"/>
      <c r="C7" s="17"/>
      <c r="D7" s="17" t="s">
        <v>299</v>
      </c>
      <c r="E7" s="17" t="s">
        <v>301</v>
      </c>
      <c r="F7" s="17" t="s">
        <v>28</v>
      </c>
      <c r="G7" s="17" t="s">
        <v>304</v>
      </c>
      <c r="H7" s="17" t="s">
        <v>304</v>
      </c>
    </row>
    <row r="8" spans="1:8" ht="17" thickBot="1" x14ac:dyDescent="0.25">
      <c r="B8" s="18" t="s">
        <v>52</v>
      </c>
      <c r="C8" s="18" t="s">
        <v>53</v>
      </c>
      <c r="D8" s="18" t="s">
        <v>300</v>
      </c>
      <c r="E8" s="18" t="s">
        <v>302</v>
      </c>
      <c r="F8" s="18" t="s">
        <v>303</v>
      </c>
      <c r="G8" s="18" t="s">
        <v>305</v>
      </c>
      <c r="H8" s="18" t="s">
        <v>306</v>
      </c>
    </row>
    <row r="9" spans="1:8" x14ac:dyDescent="0.2">
      <c r="B9" s="16" t="s">
        <v>127</v>
      </c>
      <c r="C9" s="16" t="s">
        <v>128</v>
      </c>
      <c r="D9" s="16">
        <v>0</v>
      </c>
      <c r="E9" s="16">
        <v>0</v>
      </c>
      <c r="F9" s="16">
        <v>1</v>
      </c>
      <c r="G9" s="16">
        <v>0</v>
      </c>
      <c r="H9" s="16">
        <v>1E+30</v>
      </c>
    </row>
    <row r="10" spans="1:8" x14ac:dyDescent="0.2">
      <c r="B10" s="16" t="s">
        <v>129</v>
      </c>
      <c r="C10" s="16" t="s">
        <v>130</v>
      </c>
      <c r="D10" s="16">
        <v>0</v>
      </c>
      <c r="E10" s="16">
        <v>0</v>
      </c>
      <c r="F10" s="16">
        <v>1</v>
      </c>
      <c r="G10" s="16">
        <v>0</v>
      </c>
      <c r="H10" s="16">
        <v>0</v>
      </c>
    </row>
    <row r="11" spans="1:8" x14ac:dyDescent="0.2">
      <c r="B11" s="16" t="s">
        <v>131</v>
      </c>
      <c r="C11" s="16" t="s">
        <v>132</v>
      </c>
      <c r="D11" s="16">
        <v>0</v>
      </c>
      <c r="E11" s="16">
        <v>0</v>
      </c>
      <c r="F11" s="16">
        <v>1</v>
      </c>
      <c r="G11" s="16">
        <v>0</v>
      </c>
      <c r="H11" s="16">
        <v>0</v>
      </c>
    </row>
    <row r="12" spans="1:8" x14ac:dyDescent="0.2">
      <c r="B12" s="16" t="s">
        <v>133</v>
      </c>
      <c r="C12" s="16" t="s">
        <v>134</v>
      </c>
      <c r="D12" s="16">
        <v>0</v>
      </c>
      <c r="E12" s="16">
        <v>0</v>
      </c>
      <c r="F12" s="16">
        <v>1</v>
      </c>
      <c r="G12" s="16">
        <v>0</v>
      </c>
      <c r="H12" s="16">
        <v>1E+30</v>
      </c>
    </row>
    <row r="13" spans="1:8" x14ac:dyDescent="0.2">
      <c r="B13" s="16" t="s">
        <v>135</v>
      </c>
      <c r="C13" s="16" t="s">
        <v>136</v>
      </c>
      <c r="D13" s="16">
        <v>0</v>
      </c>
      <c r="E13" s="16">
        <v>0</v>
      </c>
      <c r="F13" s="16">
        <v>1</v>
      </c>
      <c r="G13" s="16">
        <v>0</v>
      </c>
      <c r="H13" s="16">
        <v>1</v>
      </c>
    </row>
    <row r="14" spans="1:8" x14ac:dyDescent="0.2">
      <c r="B14" s="16" t="s">
        <v>137</v>
      </c>
      <c r="C14" s="16" t="s">
        <v>138</v>
      </c>
      <c r="D14" s="16">
        <v>0</v>
      </c>
      <c r="E14" s="16">
        <v>-1</v>
      </c>
      <c r="F14" s="16">
        <v>0</v>
      </c>
      <c r="G14" s="16">
        <v>1</v>
      </c>
      <c r="H14" s="16">
        <v>1E+30</v>
      </c>
    </row>
    <row r="15" spans="1:8" x14ac:dyDescent="0.2">
      <c r="B15" s="16" t="s">
        <v>139</v>
      </c>
      <c r="C15" s="16" t="s">
        <v>140</v>
      </c>
      <c r="D15" s="16">
        <v>0</v>
      </c>
      <c r="E15" s="16">
        <v>-1</v>
      </c>
      <c r="F15" s="16">
        <v>0</v>
      </c>
      <c r="G15" s="16">
        <v>1</v>
      </c>
      <c r="H15" s="16">
        <v>1E+30</v>
      </c>
    </row>
    <row r="16" spans="1:8" x14ac:dyDescent="0.2">
      <c r="B16" s="16" t="s">
        <v>141</v>
      </c>
      <c r="C16" s="16" t="s">
        <v>142</v>
      </c>
      <c r="D16" s="16">
        <v>0</v>
      </c>
      <c r="E16" s="16">
        <v>-1</v>
      </c>
      <c r="F16" s="16">
        <v>0</v>
      </c>
      <c r="G16" s="16">
        <v>1</v>
      </c>
      <c r="H16" s="16">
        <v>1E+30</v>
      </c>
    </row>
    <row r="17" spans="2:8" x14ac:dyDescent="0.2">
      <c r="B17" s="16" t="s">
        <v>143</v>
      </c>
      <c r="C17" s="16" t="s">
        <v>144</v>
      </c>
      <c r="D17" s="16">
        <v>0</v>
      </c>
      <c r="E17" s="16">
        <v>-1</v>
      </c>
      <c r="F17" s="16">
        <v>0</v>
      </c>
      <c r="G17" s="16">
        <v>1</v>
      </c>
      <c r="H17" s="16">
        <v>1E+30</v>
      </c>
    </row>
    <row r="18" spans="2:8" x14ac:dyDescent="0.2">
      <c r="B18" s="16" t="s">
        <v>145</v>
      </c>
      <c r="C18" s="16" t="s">
        <v>146</v>
      </c>
      <c r="D18" s="16">
        <v>0</v>
      </c>
      <c r="E18" s="16">
        <v>-1</v>
      </c>
      <c r="F18" s="16">
        <v>0</v>
      </c>
      <c r="G18" s="16">
        <v>1</v>
      </c>
      <c r="H18" s="16">
        <v>1E+30</v>
      </c>
    </row>
    <row r="19" spans="2:8" x14ac:dyDescent="0.2">
      <c r="B19" s="16" t="s">
        <v>147</v>
      </c>
      <c r="C19" s="16" t="s">
        <v>148</v>
      </c>
      <c r="D19" s="16">
        <v>1</v>
      </c>
      <c r="E19" s="16">
        <v>0</v>
      </c>
      <c r="F19" s="16">
        <v>1</v>
      </c>
      <c r="G19" s="16">
        <v>1E+30</v>
      </c>
      <c r="H19" s="16">
        <v>0</v>
      </c>
    </row>
    <row r="20" spans="2:8" x14ac:dyDescent="0.2">
      <c r="B20" s="16" t="s">
        <v>149</v>
      </c>
      <c r="C20" s="16" t="s">
        <v>150</v>
      </c>
      <c r="D20" s="16">
        <v>1</v>
      </c>
      <c r="E20" s="16">
        <v>0</v>
      </c>
      <c r="F20" s="16">
        <v>1</v>
      </c>
      <c r="G20" s="16">
        <v>0</v>
      </c>
      <c r="H20" s="16">
        <v>0</v>
      </c>
    </row>
    <row r="21" spans="2:8" x14ac:dyDescent="0.2">
      <c r="B21" s="16" t="s">
        <v>151</v>
      </c>
      <c r="C21" s="16" t="s">
        <v>152</v>
      </c>
      <c r="D21" s="16">
        <v>1</v>
      </c>
      <c r="E21" s="16">
        <v>0</v>
      </c>
      <c r="F21" s="16">
        <v>1</v>
      </c>
      <c r="G21" s="16">
        <v>0</v>
      </c>
      <c r="H21" s="16">
        <v>0</v>
      </c>
    </row>
    <row r="22" spans="2:8" x14ac:dyDescent="0.2">
      <c r="B22" s="16" t="s">
        <v>153</v>
      </c>
      <c r="C22" s="16" t="s">
        <v>154</v>
      </c>
      <c r="D22" s="16">
        <v>1</v>
      </c>
      <c r="E22" s="16">
        <v>0</v>
      </c>
      <c r="F22" s="16">
        <v>1</v>
      </c>
      <c r="G22" s="16">
        <v>0</v>
      </c>
      <c r="H22" s="16">
        <v>0</v>
      </c>
    </row>
    <row r="23" spans="2:8" x14ac:dyDescent="0.2">
      <c r="B23" s="16" t="s">
        <v>155</v>
      </c>
      <c r="C23" s="16" t="s">
        <v>156</v>
      </c>
      <c r="D23" s="16">
        <v>1</v>
      </c>
      <c r="E23" s="16">
        <v>0</v>
      </c>
      <c r="F23" s="16">
        <v>1</v>
      </c>
      <c r="G23" s="16">
        <v>0</v>
      </c>
      <c r="H23" s="16">
        <v>0</v>
      </c>
    </row>
    <row r="24" spans="2:8" x14ac:dyDescent="0.2">
      <c r="B24" s="16" t="s">
        <v>157</v>
      </c>
      <c r="C24" s="16" t="s">
        <v>158</v>
      </c>
      <c r="D24" s="16">
        <v>1</v>
      </c>
      <c r="E24" s="16">
        <v>0</v>
      </c>
      <c r="F24" s="16">
        <v>1</v>
      </c>
      <c r="G24" s="16">
        <v>0</v>
      </c>
      <c r="H24" s="16">
        <v>0</v>
      </c>
    </row>
    <row r="25" spans="2:8" x14ac:dyDescent="0.2">
      <c r="B25" s="16" t="s">
        <v>159</v>
      </c>
      <c r="C25" s="16" t="s">
        <v>160</v>
      </c>
      <c r="D25" s="16">
        <v>1</v>
      </c>
      <c r="E25" s="16">
        <v>0</v>
      </c>
      <c r="F25" s="16">
        <v>1</v>
      </c>
      <c r="G25" s="16">
        <v>1E+30</v>
      </c>
      <c r="H25" s="16">
        <v>0</v>
      </c>
    </row>
    <row r="26" spans="2:8" x14ac:dyDescent="0.2">
      <c r="B26" s="16" t="s">
        <v>161</v>
      </c>
      <c r="C26" s="16" t="s">
        <v>162</v>
      </c>
      <c r="D26" s="16">
        <v>1</v>
      </c>
      <c r="E26" s="16">
        <v>0</v>
      </c>
      <c r="F26" s="16">
        <v>1</v>
      </c>
      <c r="G26" s="16">
        <v>0</v>
      </c>
      <c r="H26" s="16">
        <v>0</v>
      </c>
    </row>
    <row r="27" spans="2:8" x14ac:dyDescent="0.2">
      <c r="B27" s="16" t="s">
        <v>163</v>
      </c>
      <c r="C27" s="16" t="s">
        <v>164</v>
      </c>
      <c r="D27" s="16">
        <v>1</v>
      </c>
      <c r="E27" s="16">
        <v>0</v>
      </c>
      <c r="F27" s="16">
        <v>1</v>
      </c>
      <c r="G27" s="16">
        <v>0</v>
      </c>
      <c r="H27" s="16">
        <v>0</v>
      </c>
    </row>
    <row r="28" spans="2:8" x14ac:dyDescent="0.2">
      <c r="B28" s="16" t="s">
        <v>165</v>
      </c>
      <c r="C28" s="16" t="s">
        <v>166</v>
      </c>
      <c r="D28" s="16">
        <v>1</v>
      </c>
      <c r="E28" s="16">
        <v>0</v>
      </c>
      <c r="F28" s="16">
        <v>1</v>
      </c>
      <c r="G28" s="16">
        <v>1E+30</v>
      </c>
      <c r="H28" s="16">
        <v>0</v>
      </c>
    </row>
    <row r="29" spans="2:8" x14ac:dyDescent="0.2">
      <c r="B29" s="16" t="s">
        <v>167</v>
      </c>
      <c r="C29" s="16" t="s">
        <v>168</v>
      </c>
      <c r="D29" s="16">
        <v>0</v>
      </c>
      <c r="E29" s="16">
        <v>-1</v>
      </c>
      <c r="F29" s="16">
        <v>0</v>
      </c>
      <c r="G29" s="16">
        <v>1</v>
      </c>
      <c r="H29" s="16">
        <v>1E+30</v>
      </c>
    </row>
    <row r="30" spans="2:8" x14ac:dyDescent="0.2">
      <c r="B30" s="16" t="s">
        <v>169</v>
      </c>
      <c r="C30" s="16" t="s">
        <v>170</v>
      </c>
      <c r="D30" s="16">
        <v>0</v>
      </c>
      <c r="E30" s="16">
        <v>-1</v>
      </c>
      <c r="F30" s="16">
        <v>0</v>
      </c>
      <c r="G30" s="16">
        <v>1</v>
      </c>
      <c r="H30" s="16">
        <v>1E+30</v>
      </c>
    </row>
    <row r="31" spans="2:8" x14ac:dyDescent="0.2">
      <c r="B31" s="16" t="s">
        <v>171</v>
      </c>
      <c r="C31" s="16" t="s">
        <v>172</v>
      </c>
      <c r="D31" s="16">
        <v>0</v>
      </c>
      <c r="E31" s="16">
        <v>-1</v>
      </c>
      <c r="F31" s="16">
        <v>0</v>
      </c>
      <c r="G31" s="16">
        <v>1</v>
      </c>
      <c r="H31" s="16">
        <v>1E+30</v>
      </c>
    </row>
    <row r="32" spans="2:8" x14ac:dyDescent="0.2">
      <c r="B32" s="16" t="s">
        <v>173</v>
      </c>
      <c r="C32" s="16" t="s">
        <v>174</v>
      </c>
      <c r="D32" s="16">
        <v>0</v>
      </c>
      <c r="E32" s="16">
        <v>-1</v>
      </c>
      <c r="F32" s="16">
        <v>0</v>
      </c>
      <c r="G32" s="16">
        <v>1</v>
      </c>
      <c r="H32" s="16">
        <v>1E+30</v>
      </c>
    </row>
    <row r="33" spans="2:8" x14ac:dyDescent="0.2">
      <c r="B33" s="16" t="s">
        <v>175</v>
      </c>
      <c r="C33" s="16" t="s">
        <v>176</v>
      </c>
      <c r="D33" s="16">
        <v>0</v>
      </c>
      <c r="E33" s="16">
        <v>-1</v>
      </c>
      <c r="F33" s="16">
        <v>0</v>
      </c>
      <c r="G33" s="16">
        <v>1</v>
      </c>
      <c r="H33" s="16">
        <v>1E+30</v>
      </c>
    </row>
    <row r="34" spans="2:8" x14ac:dyDescent="0.2">
      <c r="B34" s="16" t="s">
        <v>177</v>
      </c>
      <c r="C34" s="16" t="s">
        <v>178</v>
      </c>
      <c r="D34" s="16">
        <v>0</v>
      </c>
      <c r="E34" s="16">
        <v>-1</v>
      </c>
      <c r="F34" s="16">
        <v>0</v>
      </c>
      <c r="G34" s="16">
        <v>1</v>
      </c>
      <c r="H34" s="16">
        <v>1E+30</v>
      </c>
    </row>
    <row r="35" spans="2:8" x14ac:dyDescent="0.2">
      <c r="B35" s="16" t="s">
        <v>179</v>
      </c>
      <c r="C35" s="16" t="s">
        <v>180</v>
      </c>
      <c r="D35" s="16">
        <v>0</v>
      </c>
      <c r="E35" s="16">
        <v>-1</v>
      </c>
      <c r="F35" s="16">
        <v>0</v>
      </c>
      <c r="G35" s="16">
        <v>1</v>
      </c>
      <c r="H35" s="16">
        <v>1E+30</v>
      </c>
    </row>
    <row r="36" spans="2:8" x14ac:dyDescent="0.2">
      <c r="B36" s="16" t="s">
        <v>181</v>
      </c>
      <c r="C36" s="16" t="s">
        <v>182</v>
      </c>
      <c r="D36" s="16">
        <v>0</v>
      </c>
      <c r="E36" s="16">
        <v>-1</v>
      </c>
      <c r="F36" s="16">
        <v>0</v>
      </c>
      <c r="G36" s="16">
        <v>1</v>
      </c>
      <c r="H36" s="16">
        <v>1E+30</v>
      </c>
    </row>
    <row r="37" spans="2:8" x14ac:dyDescent="0.2">
      <c r="B37" s="16" t="s">
        <v>183</v>
      </c>
      <c r="C37" s="16" t="s">
        <v>184</v>
      </c>
      <c r="D37" s="16">
        <v>0</v>
      </c>
      <c r="E37" s="16">
        <v>-1</v>
      </c>
      <c r="F37" s="16">
        <v>0</v>
      </c>
      <c r="G37" s="16">
        <v>1</v>
      </c>
      <c r="H37" s="16">
        <v>1E+30</v>
      </c>
    </row>
    <row r="38" spans="2:8" x14ac:dyDescent="0.2">
      <c r="B38" s="16" t="s">
        <v>185</v>
      </c>
      <c r="C38" s="16" t="s">
        <v>186</v>
      </c>
      <c r="D38" s="16">
        <v>0</v>
      </c>
      <c r="E38" s="16">
        <v>-1</v>
      </c>
      <c r="F38" s="16">
        <v>0</v>
      </c>
      <c r="G38" s="16">
        <v>1</v>
      </c>
      <c r="H38" s="16">
        <v>1E+30</v>
      </c>
    </row>
    <row r="39" spans="2:8" x14ac:dyDescent="0.2">
      <c r="B39" s="16" t="s">
        <v>187</v>
      </c>
      <c r="C39" s="16" t="s">
        <v>188</v>
      </c>
      <c r="D39" s="16">
        <v>0</v>
      </c>
      <c r="E39" s="16">
        <v>-1</v>
      </c>
      <c r="F39" s="16">
        <v>0</v>
      </c>
      <c r="G39" s="16">
        <v>1</v>
      </c>
      <c r="H39" s="16">
        <v>1E+30</v>
      </c>
    </row>
    <row r="40" spans="2:8" x14ac:dyDescent="0.2">
      <c r="B40" s="16" t="s">
        <v>189</v>
      </c>
      <c r="C40" s="16" t="s">
        <v>190</v>
      </c>
      <c r="D40" s="16">
        <v>0</v>
      </c>
      <c r="E40" s="16">
        <v>-1</v>
      </c>
      <c r="F40" s="16">
        <v>0</v>
      </c>
      <c r="G40" s="16">
        <v>1</v>
      </c>
      <c r="H40" s="16">
        <v>1E+30</v>
      </c>
    </row>
    <row r="41" spans="2:8" x14ac:dyDescent="0.2">
      <c r="B41" s="16" t="s">
        <v>191</v>
      </c>
      <c r="C41" s="16" t="s">
        <v>192</v>
      </c>
      <c r="D41" s="16">
        <v>0</v>
      </c>
      <c r="E41" s="16">
        <v>-1</v>
      </c>
      <c r="F41" s="16">
        <v>0</v>
      </c>
      <c r="G41" s="16">
        <v>1</v>
      </c>
      <c r="H41" s="16">
        <v>1E+30</v>
      </c>
    </row>
    <row r="42" spans="2:8" x14ac:dyDescent="0.2">
      <c r="B42" s="16" t="s">
        <v>193</v>
      </c>
      <c r="C42" s="16" t="s">
        <v>194</v>
      </c>
      <c r="D42" s="16">
        <v>0</v>
      </c>
      <c r="E42" s="16">
        <v>-1</v>
      </c>
      <c r="F42" s="16">
        <v>0</v>
      </c>
      <c r="G42" s="16">
        <v>1</v>
      </c>
      <c r="H42" s="16">
        <v>1E+30</v>
      </c>
    </row>
    <row r="43" spans="2:8" x14ac:dyDescent="0.2">
      <c r="B43" s="16" t="s">
        <v>195</v>
      </c>
      <c r="C43" s="16" t="s">
        <v>196</v>
      </c>
      <c r="D43" s="16">
        <v>0</v>
      </c>
      <c r="E43" s="16">
        <v>-1</v>
      </c>
      <c r="F43" s="16">
        <v>0</v>
      </c>
      <c r="G43" s="16">
        <v>1</v>
      </c>
      <c r="H43" s="16">
        <v>1E+30</v>
      </c>
    </row>
    <row r="44" spans="2:8" x14ac:dyDescent="0.2">
      <c r="B44" s="16" t="s">
        <v>197</v>
      </c>
      <c r="C44" s="16" t="s">
        <v>198</v>
      </c>
      <c r="D44" s="16">
        <v>0</v>
      </c>
      <c r="E44" s="16">
        <v>0</v>
      </c>
      <c r="F44" s="16">
        <v>1</v>
      </c>
      <c r="G44" s="16">
        <v>0</v>
      </c>
      <c r="H44" s="16">
        <v>1</v>
      </c>
    </row>
    <row r="45" spans="2:8" x14ac:dyDescent="0.2">
      <c r="B45" s="16" t="s">
        <v>199</v>
      </c>
      <c r="C45" s="16" t="s">
        <v>200</v>
      </c>
      <c r="D45" s="16">
        <v>0</v>
      </c>
      <c r="E45" s="16">
        <v>0</v>
      </c>
      <c r="F45" s="16">
        <v>1</v>
      </c>
      <c r="G45" s="16">
        <v>0</v>
      </c>
      <c r="H45" s="16">
        <v>1</v>
      </c>
    </row>
    <row r="46" spans="2:8" x14ac:dyDescent="0.2">
      <c r="B46" s="16" t="s">
        <v>201</v>
      </c>
      <c r="C46" s="16" t="s">
        <v>202</v>
      </c>
      <c r="D46" s="16">
        <v>0</v>
      </c>
      <c r="E46" s="16">
        <v>0</v>
      </c>
      <c r="F46" s="16">
        <v>1</v>
      </c>
      <c r="G46" s="16">
        <v>0</v>
      </c>
      <c r="H46" s="16">
        <v>1</v>
      </c>
    </row>
    <row r="47" spans="2:8" x14ac:dyDescent="0.2">
      <c r="B47" s="16" t="s">
        <v>203</v>
      </c>
      <c r="C47" s="16" t="s">
        <v>204</v>
      </c>
      <c r="D47" s="16">
        <v>1</v>
      </c>
      <c r="E47" s="16">
        <v>0</v>
      </c>
      <c r="F47" s="16">
        <v>1</v>
      </c>
      <c r="G47" s="16">
        <v>0</v>
      </c>
      <c r="H47" s="16">
        <v>0</v>
      </c>
    </row>
    <row r="48" spans="2:8" x14ac:dyDescent="0.2">
      <c r="B48" s="16" t="s">
        <v>205</v>
      </c>
      <c r="C48" s="16" t="s">
        <v>206</v>
      </c>
      <c r="D48" s="16">
        <v>1</v>
      </c>
      <c r="E48" s="16">
        <v>0</v>
      </c>
      <c r="F48" s="16">
        <v>1</v>
      </c>
      <c r="G48" s="16">
        <v>1E+30</v>
      </c>
      <c r="H48" s="16">
        <v>0</v>
      </c>
    </row>
    <row r="49" spans="2:8" x14ac:dyDescent="0.2">
      <c r="B49" s="16" t="s">
        <v>207</v>
      </c>
      <c r="C49" s="16" t="s">
        <v>208</v>
      </c>
      <c r="D49" s="16">
        <v>0</v>
      </c>
      <c r="E49" s="16">
        <v>0</v>
      </c>
      <c r="F49" s="16">
        <v>1</v>
      </c>
      <c r="G49" s="16">
        <v>0</v>
      </c>
      <c r="H49" s="16">
        <v>1</v>
      </c>
    </row>
    <row r="50" spans="2:8" x14ac:dyDescent="0.2">
      <c r="B50" s="16" t="s">
        <v>209</v>
      </c>
      <c r="C50" s="16" t="s">
        <v>210</v>
      </c>
      <c r="D50" s="16">
        <v>0</v>
      </c>
      <c r="E50" s="16">
        <v>0</v>
      </c>
      <c r="F50" s="16">
        <v>1</v>
      </c>
      <c r="G50" s="16">
        <v>0</v>
      </c>
      <c r="H50" s="16">
        <v>1E+30</v>
      </c>
    </row>
    <row r="51" spans="2:8" x14ac:dyDescent="0.2">
      <c r="B51" s="16" t="s">
        <v>211</v>
      </c>
      <c r="C51" s="16" t="s">
        <v>212</v>
      </c>
      <c r="D51" s="16">
        <v>0</v>
      </c>
      <c r="E51" s="16">
        <v>0</v>
      </c>
      <c r="F51" s="16">
        <v>1</v>
      </c>
      <c r="G51" s="16">
        <v>0</v>
      </c>
      <c r="H51" s="16">
        <v>1E+30</v>
      </c>
    </row>
    <row r="52" spans="2:8" x14ac:dyDescent="0.2">
      <c r="B52" s="16" t="s">
        <v>213</v>
      </c>
      <c r="C52" s="16" t="s">
        <v>214</v>
      </c>
      <c r="D52" s="16">
        <v>0</v>
      </c>
      <c r="E52" s="16">
        <v>0</v>
      </c>
      <c r="F52" s="16">
        <v>1</v>
      </c>
      <c r="G52" s="16">
        <v>0</v>
      </c>
      <c r="H52" s="16">
        <v>1E+30</v>
      </c>
    </row>
    <row r="53" spans="2:8" x14ac:dyDescent="0.2">
      <c r="B53" s="16" t="s">
        <v>215</v>
      </c>
      <c r="C53" s="16" t="s">
        <v>216</v>
      </c>
      <c r="D53" s="16">
        <v>0</v>
      </c>
      <c r="E53" s="16">
        <v>0</v>
      </c>
      <c r="F53" s="16">
        <v>1</v>
      </c>
      <c r="G53" s="16">
        <v>0</v>
      </c>
      <c r="H53" s="16">
        <v>1E+30</v>
      </c>
    </row>
    <row r="54" spans="2:8" x14ac:dyDescent="0.2">
      <c r="B54" s="16" t="s">
        <v>217</v>
      </c>
      <c r="C54" s="16" t="s">
        <v>218</v>
      </c>
      <c r="D54" s="16">
        <v>0</v>
      </c>
      <c r="E54" s="16">
        <v>-1</v>
      </c>
      <c r="F54" s="16">
        <v>0</v>
      </c>
      <c r="G54" s="16">
        <v>1</v>
      </c>
      <c r="H54" s="16">
        <v>1E+30</v>
      </c>
    </row>
    <row r="55" spans="2:8" x14ac:dyDescent="0.2">
      <c r="B55" s="16" t="s">
        <v>219</v>
      </c>
      <c r="C55" s="16" t="s">
        <v>220</v>
      </c>
      <c r="D55" s="16">
        <v>0</v>
      </c>
      <c r="E55" s="16">
        <v>-1</v>
      </c>
      <c r="F55" s="16">
        <v>0</v>
      </c>
      <c r="G55" s="16">
        <v>1</v>
      </c>
      <c r="H55" s="16">
        <v>1E+30</v>
      </c>
    </row>
    <row r="56" spans="2:8" x14ac:dyDescent="0.2">
      <c r="B56" s="16" t="s">
        <v>221</v>
      </c>
      <c r="C56" s="16" t="s">
        <v>222</v>
      </c>
      <c r="D56" s="16">
        <v>0</v>
      </c>
      <c r="E56" s="16">
        <v>-1</v>
      </c>
      <c r="F56" s="16">
        <v>0</v>
      </c>
      <c r="G56" s="16">
        <v>1</v>
      </c>
      <c r="H56" s="16">
        <v>1E+30</v>
      </c>
    </row>
    <row r="57" spans="2:8" x14ac:dyDescent="0.2">
      <c r="B57" s="16" t="s">
        <v>223</v>
      </c>
      <c r="C57" s="16" t="s">
        <v>224</v>
      </c>
      <c r="D57" s="16">
        <v>0</v>
      </c>
      <c r="E57" s="16">
        <v>-1</v>
      </c>
      <c r="F57" s="16">
        <v>0</v>
      </c>
      <c r="G57" s="16">
        <v>1</v>
      </c>
      <c r="H57" s="16">
        <v>1E+30</v>
      </c>
    </row>
    <row r="58" spans="2:8" x14ac:dyDescent="0.2">
      <c r="B58" s="16" t="s">
        <v>225</v>
      </c>
      <c r="C58" s="16" t="s">
        <v>226</v>
      </c>
      <c r="D58" s="16">
        <v>0</v>
      </c>
      <c r="E58" s="16">
        <v>-1</v>
      </c>
      <c r="F58" s="16">
        <v>0</v>
      </c>
      <c r="G58" s="16">
        <v>1</v>
      </c>
      <c r="H58" s="16">
        <v>1E+30</v>
      </c>
    </row>
    <row r="59" spans="2:8" x14ac:dyDescent="0.2">
      <c r="B59" s="16" t="s">
        <v>227</v>
      </c>
      <c r="C59" s="16" t="s">
        <v>228</v>
      </c>
      <c r="D59" s="16">
        <v>1</v>
      </c>
      <c r="E59" s="16">
        <v>0</v>
      </c>
      <c r="F59" s="16">
        <v>1</v>
      </c>
      <c r="G59" s="16">
        <v>1E+30</v>
      </c>
      <c r="H59" s="16">
        <v>0</v>
      </c>
    </row>
    <row r="60" spans="2:8" x14ac:dyDescent="0.2">
      <c r="B60" s="16" t="s">
        <v>229</v>
      </c>
      <c r="C60" s="16" t="s">
        <v>230</v>
      </c>
      <c r="D60" s="16">
        <v>1</v>
      </c>
      <c r="E60" s="16">
        <v>0</v>
      </c>
      <c r="F60" s="16">
        <v>1</v>
      </c>
      <c r="G60" s="16">
        <v>1E+30</v>
      </c>
      <c r="H60" s="16">
        <v>0</v>
      </c>
    </row>
    <row r="61" spans="2:8" x14ac:dyDescent="0.2">
      <c r="B61" s="16" t="s">
        <v>231</v>
      </c>
      <c r="C61" s="16" t="s">
        <v>232</v>
      </c>
      <c r="D61" s="16">
        <v>1</v>
      </c>
      <c r="E61" s="16">
        <v>0</v>
      </c>
      <c r="F61" s="16">
        <v>1</v>
      </c>
      <c r="G61" s="16">
        <v>1E+30</v>
      </c>
      <c r="H61" s="16">
        <v>0</v>
      </c>
    </row>
    <row r="62" spans="2:8" x14ac:dyDescent="0.2">
      <c r="B62" s="16" t="s">
        <v>233</v>
      </c>
      <c r="C62" s="16" t="s">
        <v>234</v>
      </c>
      <c r="D62" s="16">
        <v>0</v>
      </c>
      <c r="E62" s="16">
        <v>0</v>
      </c>
      <c r="F62" s="16">
        <v>1</v>
      </c>
      <c r="G62" s="16">
        <v>0</v>
      </c>
      <c r="H62" s="16">
        <v>0</v>
      </c>
    </row>
    <row r="63" spans="2:8" x14ac:dyDescent="0.2">
      <c r="B63" s="16" t="s">
        <v>235</v>
      </c>
      <c r="C63" s="16" t="s">
        <v>236</v>
      </c>
      <c r="D63" s="16">
        <v>0</v>
      </c>
      <c r="E63" s="16">
        <v>0</v>
      </c>
      <c r="F63" s="16">
        <v>1</v>
      </c>
      <c r="G63" s="16">
        <v>0</v>
      </c>
      <c r="H63" s="16">
        <v>1</v>
      </c>
    </row>
    <row r="64" spans="2:8" x14ac:dyDescent="0.2">
      <c r="B64" s="16" t="s">
        <v>237</v>
      </c>
      <c r="C64" s="16" t="s">
        <v>238</v>
      </c>
      <c r="D64" s="16">
        <v>0</v>
      </c>
      <c r="E64" s="16">
        <v>-1</v>
      </c>
      <c r="F64" s="16">
        <v>0</v>
      </c>
      <c r="G64" s="16">
        <v>1</v>
      </c>
      <c r="H64" s="16">
        <v>1E+30</v>
      </c>
    </row>
    <row r="65" spans="1:8" x14ac:dyDescent="0.2">
      <c r="B65" s="16" t="s">
        <v>239</v>
      </c>
      <c r="C65" s="16" t="s">
        <v>240</v>
      </c>
      <c r="D65" s="16">
        <v>0</v>
      </c>
      <c r="E65" s="16">
        <v>-1</v>
      </c>
      <c r="F65" s="16">
        <v>0</v>
      </c>
      <c r="G65" s="16">
        <v>1</v>
      </c>
      <c r="H65" s="16">
        <v>1E+30</v>
      </c>
    </row>
    <row r="66" spans="1:8" x14ac:dyDescent="0.2">
      <c r="B66" s="16" t="s">
        <v>241</v>
      </c>
      <c r="C66" s="16" t="s">
        <v>242</v>
      </c>
      <c r="D66" s="16">
        <v>0</v>
      </c>
      <c r="E66" s="16">
        <v>-1</v>
      </c>
      <c r="F66" s="16">
        <v>0</v>
      </c>
      <c r="G66" s="16">
        <v>1</v>
      </c>
      <c r="H66" s="16">
        <v>1E+30</v>
      </c>
    </row>
    <row r="67" spans="1:8" x14ac:dyDescent="0.2">
      <c r="B67" s="16" t="s">
        <v>243</v>
      </c>
      <c r="C67" s="16" t="s">
        <v>244</v>
      </c>
      <c r="D67" s="16">
        <v>0</v>
      </c>
      <c r="E67" s="16">
        <v>-1</v>
      </c>
      <c r="F67" s="16">
        <v>0</v>
      </c>
      <c r="G67" s="16">
        <v>1</v>
      </c>
      <c r="H67" s="16">
        <v>1E+30</v>
      </c>
    </row>
    <row r="68" spans="1:8" ht="17" thickBot="1" x14ac:dyDescent="0.25">
      <c r="B68" s="15" t="s">
        <v>245</v>
      </c>
      <c r="C68" s="15" t="s">
        <v>246</v>
      </c>
      <c r="D68" s="15">
        <v>0</v>
      </c>
      <c r="E68" s="15">
        <v>-1</v>
      </c>
      <c r="F68" s="15">
        <v>0</v>
      </c>
      <c r="G68" s="15">
        <v>1</v>
      </c>
      <c r="H68" s="15">
        <v>1E+30</v>
      </c>
    </row>
    <row r="70" spans="1:8" ht="17" thickBot="1" x14ac:dyDescent="0.25">
      <c r="A70" t="s">
        <v>26</v>
      </c>
    </row>
    <row r="71" spans="1:8" x14ac:dyDescent="0.2">
      <c r="B71" s="17"/>
      <c r="C71" s="17"/>
      <c r="D71" s="17" t="s">
        <v>299</v>
      </c>
      <c r="E71" s="17" t="s">
        <v>307</v>
      </c>
      <c r="F71" s="17" t="s">
        <v>309</v>
      </c>
      <c r="G71" s="17" t="s">
        <v>304</v>
      </c>
      <c r="H71" s="17" t="s">
        <v>304</v>
      </c>
    </row>
    <row r="72" spans="1:8" ht="17" thickBot="1" x14ac:dyDescent="0.25">
      <c r="B72" s="18" t="s">
        <v>52</v>
      </c>
      <c r="C72" s="18" t="s">
        <v>53</v>
      </c>
      <c r="D72" s="18" t="s">
        <v>300</v>
      </c>
      <c r="E72" s="18" t="s">
        <v>308</v>
      </c>
      <c r="F72" s="18" t="s">
        <v>310</v>
      </c>
      <c r="G72" s="18" t="s">
        <v>305</v>
      </c>
      <c r="H72" s="18" t="s">
        <v>306</v>
      </c>
    </row>
    <row r="73" spans="1:8" x14ac:dyDescent="0.2">
      <c r="B73" s="16" t="s">
        <v>58</v>
      </c>
      <c r="C73" s="16" t="s">
        <v>59</v>
      </c>
      <c r="D73" s="16">
        <v>15</v>
      </c>
      <c r="E73" s="16">
        <v>1</v>
      </c>
      <c r="F73" s="16">
        <v>15</v>
      </c>
      <c r="G73" s="16">
        <v>0</v>
      </c>
      <c r="H73" s="16">
        <v>0</v>
      </c>
    </row>
    <row r="74" spans="1:8" x14ac:dyDescent="0.2">
      <c r="B74" s="16" t="s">
        <v>74</v>
      </c>
      <c r="C74" s="16" t="s">
        <v>75</v>
      </c>
      <c r="D74" s="16">
        <v>1</v>
      </c>
      <c r="E74" s="16">
        <v>0</v>
      </c>
      <c r="F74" s="16">
        <v>1</v>
      </c>
      <c r="G74" s="16">
        <v>0</v>
      </c>
      <c r="H74" s="16">
        <v>0</v>
      </c>
    </row>
    <row r="75" spans="1:8" x14ac:dyDescent="0.2">
      <c r="B75" s="16" t="s">
        <v>77</v>
      </c>
      <c r="C75" s="16" t="s">
        <v>78</v>
      </c>
      <c r="D75" s="16">
        <v>1</v>
      </c>
      <c r="E75" s="16">
        <v>0</v>
      </c>
      <c r="F75" s="16">
        <v>1</v>
      </c>
      <c r="G75" s="16">
        <v>0</v>
      </c>
      <c r="H75" s="16">
        <v>1E+30</v>
      </c>
    </row>
    <row r="76" spans="1:8" x14ac:dyDescent="0.2">
      <c r="B76" s="16" t="s">
        <v>80</v>
      </c>
      <c r="C76" s="16" t="s">
        <v>81</v>
      </c>
      <c r="D76" s="16">
        <v>1</v>
      </c>
      <c r="E76" s="16">
        <v>0</v>
      </c>
      <c r="F76" s="16">
        <v>1</v>
      </c>
      <c r="G76" s="16">
        <v>0</v>
      </c>
      <c r="H76" s="16">
        <v>0</v>
      </c>
    </row>
    <row r="77" spans="1:8" x14ac:dyDescent="0.2">
      <c r="B77" s="16" t="s">
        <v>83</v>
      </c>
      <c r="C77" s="16" t="s">
        <v>84</v>
      </c>
      <c r="D77" s="16">
        <v>1</v>
      </c>
      <c r="E77" s="16">
        <v>0</v>
      </c>
      <c r="F77" s="16">
        <v>1</v>
      </c>
      <c r="G77" s="16">
        <v>0</v>
      </c>
      <c r="H77" s="16">
        <v>0</v>
      </c>
    </row>
    <row r="78" spans="1:8" x14ac:dyDescent="0.2">
      <c r="B78" s="16" t="s">
        <v>86</v>
      </c>
      <c r="C78" s="16" t="s">
        <v>87</v>
      </c>
      <c r="D78" s="16">
        <v>1</v>
      </c>
      <c r="E78" s="16">
        <v>0</v>
      </c>
      <c r="F78" s="16">
        <v>1</v>
      </c>
      <c r="G78" s="16">
        <v>0</v>
      </c>
      <c r="H78" s="16">
        <v>0</v>
      </c>
    </row>
    <row r="79" spans="1:8" x14ac:dyDescent="0.2">
      <c r="B79" s="16" t="s">
        <v>248</v>
      </c>
      <c r="C79" s="16" t="s">
        <v>249</v>
      </c>
      <c r="D79" s="16">
        <v>1</v>
      </c>
      <c r="E79" s="16">
        <v>0</v>
      </c>
      <c r="F79" s="16">
        <v>1</v>
      </c>
      <c r="G79" s="16">
        <v>0</v>
      </c>
      <c r="H79" s="16">
        <v>0</v>
      </c>
    </row>
    <row r="80" spans="1:8" x14ac:dyDescent="0.2">
      <c r="B80" s="16" t="s">
        <v>251</v>
      </c>
      <c r="C80" s="16" t="s">
        <v>252</v>
      </c>
      <c r="D80" s="16">
        <v>1</v>
      </c>
      <c r="E80" s="16">
        <v>0</v>
      </c>
      <c r="F80" s="16">
        <v>1</v>
      </c>
      <c r="G80" s="16">
        <v>0</v>
      </c>
      <c r="H80" s="16">
        <v>0</v>
      </c>
    </row>
    <row r="81" spans="2:8" x14ac:dyDescent="0.2">
      <c r="B81" s="16" t="s">
        <v>254</v>
      </c>
      <c r="C81" s="16" t="s">
        <v>255</v>
      </c>
      <c r="D81" s="16">
        <v>1</v>
      </c>
      <c r="E81" s="16">
        <v>0</v>
      </c>
      <c r="F81" s="16">
        <v>1</v>
      </c>
      <c r="G81" s="16">
        <v>0</v>
      </c>
      <c r="H81" s="16">
        <v>0</v>
      </c>
    </row>
    <row r="82" spans="2:8" x14ac:dyDescent="0.2">
      <c r="B82" s="16" t="s">
        <v>257</v>
      </c>
      <c r="C82" s="16" t="s">
        <v>258</v>
      </c>
      <c r="D82" s="16">
        <v>1</v>
      </c>
      <c r="E82" s="16">
        <v>0</v>
      </c>
      <c r="F82" s="16">
        <v>1</v>
      </c>
      <c r="G82" s="16">
        <v>0</v>
      </c>
      <c r="H82" s="16">
        <v>0</v>
      </c>
    </row>
    <row r="83" spans="2:8" x14ac:dyDescent="0.2">
      <c r="B83" s="16" t="s">
        <v>260</v>
      </c>
      <c r="C83" s="16" t="s">
        <v>261</v>
      </c>
      <c r="D83" s="16">
        <v>1</v>
      </c>
      <c r="E83" s="16">
        <v>0</v>
      </c>
      <c r="F83" s="16">
        <v>1</v>
      </c>
      <c r="G83" s="16">
        <v>0</v>
      </c>
      <c r="H83" s="16">
        <v>0</v>
      </c>
    </row>
    <row r="84" spans="2:8" x14ac:dyDescent="0.2">
      <c r="B84" s="16" t="s">
        <v>263</v>
      </c>
      <c r="C84" s="16" t="s">
        <v>264</v>
      </c>
      <c r="D84" s="16">
        <v>1</v>
      </c>
      <c r="E84" s="16">
        <v>0</v>
      </c>
      <c r="F84" s="16">
        <v>1</v>
      </c>
      <c r="G84" s="16">
        <v>0</v>
      </c>
      <c r="H84" s="16">
        <v>0</v>
      </c>
    </row>
    <row r="85" spans="2:8" x14ac:dyDescent="0.2">
      <c r="B85" s="16" t="s">
        <v>266</v>
      </c>
      <c r="C85" s="16" t="s">
        <v>267</v>
      </c>
      <c r="D85" s="16">
        <v>1</v>
      </c>
      <c r="E85" s="16">
        <v>0</v>
      </c>
      <c r="F85" s="16">
        <v>1</v>
      </c>
      <c r="G85" s="16">
        <v>0</v>
      </c>
      <c r="H85" s="16">
        <v>0</v>
      </c>
    </row>
    <row r="86" spans="2:8" x14ac:dyDescent="0.2">
      <c r="B86" s="16" t="s">
        <v>269</v>
      </c>
      <c r="C86" s="16" t="s">
        <v>270</v>
      </c>
      <c r="D86" s="16">
        <v>1</v>
      </c>
      <c r="E86" s="16">
        <v>0</v>
      </c>
      <c r="F86" s="16">
        <v>1</v>
      </c>
      <c r="G86" s="16">
        <v>0</v>
      </c>
      <c r="H86" s="16">
        <v>0</v>
      </c>
    </row>
    <row r="87" spans="2:8" x14ac:dyDescent="0.2">
      <c r="B87" s="16" t="s">
        <v>272</v>
      </c>
      <c r="C87" s="16" t="s">
        <v>273</v>
      </c>
      <c r="D87" s="16">
        <v>1</v>
      </c>
      <c r="E87" s="16">
        <v>0</v>
      </c>
      <c r="F87" s="16">
        <v>1</v>
      </c>
      <c r="G87" s="16">
        <v>0</v>
      </c>
      <c r="H87" s="16">
        <v>0</v>
      </c>
    </row>
    <row r="88" spans="2:8" x14ac:dyDescent="0.2">
      <c r="B88" s="16" t="s">
        <v>275</v>
      </c>
      <c r="C88" s="16" t="s">
        <v>276</v>
      </c>
      <c r="D88" s="16">
        <v>1</v>
      </c>
      <c r="E88" s="16">
        <v>0</v>
      </c>
      <c r="F88" s="16">
        <v>1</v>
      </c>
      <c r="G88" s="16">
        <v>0</v>
      </c>
      <c r="H88" s="16">
        <v>0</v>
      </c>
    </row>
    <row r="89" spans="2:8" x14ac:dyDescent="0.2">
      <c r="B89" s="16" t="s">
        <v>89</v>
      </c>
      <c r="C89" s="16" t="s">
        <v>30</v>
      </c>
      <c r="D89" s="16">
        <v>1</v>
      </c>
      <c r="E89" s="16">
        <v>0</v>
      </c>
      <c r="F89" s="16">
        <v>1</v>
      </c>
      <c r="G89" s="16">
        <v>0</v>
      </c>
      <c r="H89" s="16">
        <v>1E+30</v>
      </c>
    </row>
    <row r="90" spans="2:8" x14ac:dyDescent="0.2">
      <c r="B90" s="16" t="s">
        <v>91</v>
      </c>
      <c r="C90" s="16" t="s">
        <v>7</v>
      </c>
      <c r="D90" s="16">
        <v>1</v>
      </c>
      <c r="E90" s="16">
        <v>0</v>
      </c>
      <c r="F90" s="16">
        <v>1</v>
      </c>
      <c r="G90" s="16">
        <v>0</v>
      </c>
      <c r="H90" s="16">
        <v>1E+30</v>
      </c>
    </row>
    <row r="91" spans="2:8" x14ac:dyDescent="0.2">
      <c r="B91" s="16" t="s">
        <v>93</v>
      </c>
      <c r="C91" s="16" t="s">
        <v>8</v>
      </c>
      <c r="D91" s="16">
        <v>1</v>
      </c>
      <c r="E91" s="16">
        <v>0</v>
      </c>
      <c r="F91" s="16">
        <v>1</v>
      </c>
      <c r="G91" s="16">
        <v>0</v>
      </c>
      <c r="H91" s="16">
        <v>1E+30</v>
      </c>
    </row>
    <row r="92" spans="2:8" x14ac:dyDescent="0.2">
      <c r="B92" s="16" t="s">
        <v>95</v>
      </c>
      <c r="C92" s="16" t="s">
        <v>9</v>
      </c>
      <c r="D92" s="16">
        <v>1</v>
      </c>
      <c r="E92" s="16">
        <v>0</v>
      </c>
      <c r="F92" s="16">
        <v>1</v>
      </c>
      <c r="G92" s="16">
        <v>0</v>
      </c>
      <c r="H92" s="16">
        <v>1E+30</v>
      </c>
    </row>
    <row r="93" spans="2:8" x14ac:dyDescent="0.2">
      <c r="B93" s="16" t="s">
        <v>97</v>
      </c>
      <c r="C93" s="16" t="s">
        <v>10</v>
      </c>
      <c r="D93" s="16">
        <v>1</v>
      </c>
      <c r="E93" s="16">
        <v>0</v>
      </c>
      <c r="F93" s="16">
        <v>1</v>
      </c>
      <c r="G93" s="16">
        <v>0</v>
      </c>
      <c r="H93" s="16">
        <v>1E+30</v>
      </c>
    </row>
    <row r="94" spans="2:8" x14ac:dyDescent="0.2">
      <c r="B94" s="16" t="s">
        <v>99</v>
      </c>
      <c r="C94" s="16" t="s">
        <v>31</v>
      </c>
      <c r="D94" s="16">
        <v>1</v>
      </c>
      <c r="E94" s="16">
        <v>0</v>
      </c>
      <c r="F94" s="16">
        <v>1</v>
      </c>
      <c r="G94" s="16">
        <v>0</v>
      </c>
      <c r="H94" s="16">
        <v>1E+30</v>
      </c>
    </row>
    <row r="95" spans="2:8" x14ac:dyDescent="0.2">
      <c r="B95" s="16" t="s">
        <v>101</v>
      </c>
      <c r="C95" s="16" t="s">
        <v>12</v>
      </c>
      <c r="D95" s="16">
        <v>1</v>
      </c>
      <c r="E95" s="16">
        <v>0</v>
      </c>
      <c r="F95" s="16">
        <v>1</v>
      </c>
      <c r="G95" s="16">
        <v>0</v>
      </c>
      <c r="H95" s="16">
        <v>1E+30</v>
      </c>
    </row>
    <row r="96" spans="2:8" x14ac:dyDescent="0.2">
      <c r="B96" s="16" t="s">
        <v>103</v>
      </c>
      <c r="C96" s="16" t="s">
        <v>13</v>
      </c>
      <c r="D96" s="16">
        <v>1</v>
      </c>
      <c r="E96" s="16">
        <v>0</v>
      </c>
      <c r="F96" s="16">
        <v>1</v>
      </c>
      <c r="G96" s="16">
        <v>0</v>
      </c>
      <c r="H96" s="16">
        <v>1E+30</v>
      </c>
    </row>
    <row r="97" spans="2:8" x14ac:dyDescent="0.2">
      <c r="B97" s="16" t="s">
        <v>105</v>
      </c>
      <c r="C97" s="16" t="s">
        <v>14</v>
      </c>
      <c r="D97" s="16">
        <v>1</v>
      </c>
      <c r="E97" s="16">
        <v>0</v>
      </c>
      <c r="F97" s="16">
        <v>1</v>
      </c>
      <c r="G97" s="16">
        <v>0</v>
      </c>
      <c r="H97" s="16">
        <v>1E+30</v>
      </c>
    </row>
    <row r="98" spans="2:8" x14ac:dyDescent="0.2">
      <c r="B98" s="16" t="s">
        <v>107</v>
      </c>
      <c r="C98" s="16" t="s">
        <v>15</v>
      </c>
      <c r="D98" s="16">
        <v>1</v>
      </c>
      <c r="E98" s="16">
        <v>0</v>
      </c>
      <c r="F98" s="16">
        <v>1</v>
      </c>
      <c r="G98" s="16">
        <v>0</v>
      </c>
      <c r="H98" s="16">
        <v>1E+30</v>
      </c>
    </row>
    <row r="99" spans="2:8" x14ac:dyDescent="0.2">
      <c r="B99" s="16" t="s">
        <v>278</v>
      </c>
      <c r="C99" s="16" t="s">
        <v>279</v>
      </c>
      <c r="D99" s="16">
        <v>5</v>
      </c>
      <c r="E99" s="16">
        <v>0</v>
      </c>
      <c r="F99" s="16">
        <v>5</v>
      </c>
      <c r="G99" s="16">
        <v>1E+30</v>
      </c>
      <c r="H99" s="16">
        <v>0</v>
      </c>
    </row>
    <row r="100" spans="2:8" x14ac:dyDescent="0.2">
      <c r="B100" s="16" t="s">
        <v>281</v>
      </c>
      <c r="C100" s="16" t="s">
        <v>282</v>
      </c>
      <c r="D100" s="16">
        <v>5</v>
      </c>
      <c r="E100" s="16">
        <v>0</v>
      </c>
      <c r="F100" s="16">
        <v>5</v>
      </c>
      <c r="G100" s="16">
        <v>0</v>
      </c>
      <c r="H100" s="16">
        <v>0</v>
      </c>
    </row>
    <row r="101" spans="2:8" x14ac:dyDescent="0.2">
      <c r="B101" s="16" t="s">
        <v>284</v>
      </c>
      <c r="C101" s="16" t="s">
        <v>285</v>
      </c>
      <c r="D101" s="16">
        <v>2</v>
      </c>
      <c r="E101" s="16">
        <v>0</v>
      </c>
      <c r="F101" s="16">
        <v>5</v>
      </c>
      <c r="G101" s="16">
        <v>1E+30</v>
      </c>
      <c r="H101" s="16">
        <v>3</v>
      </c>
    </row>
    <row r="102" spans="2:8" x14ac:dyDescent="0.2">
      <c r="B102" s="16" t="s">
        <v>288</v>
      </c>
      <c r="C102" s="16" t="s">
        <v>289</v>
      </c>
      <c r="D102" s="16">
        <v>3</v>
      </c>
      <c r="E102" s="16">
        <v>0</v>
      </c>
      <c r="F102" s="16">
        <v>5</v>
      </c>
      <c r="G102" s="16">
        <v>1E+30</v>
      </c>
      <c r="H102" s="16">
        <v>2</v>
      </c>
    </row>
    <row r="103" spans="2:8" x14ac:dyDescent="0.2">
      <c r="B103" s="16" t="s">
        <v>278</v>
      </c>
      <c r="C103" s="16" t="s">
        <v>279</v>
      </c>
      <c r="D103" s="16">
        <v>5</v>
      </c>
      <c r="E103" s="16">
        <v>0</v>
      </c>
      <c r="F103" s="16">
        <v>2</v>
      </c>
      <c r="G103" s="16">
        <v>3</v>
      </c>
      <c r="H103" s="16">
        <v>1E+30</v>
      </c>
    </row>
    <row r="104" spans="2:8" x14ac:dyDescent="0.2">
      <c r="B104" s="16" t="s">
        <v>281</v>
      </c>
      <c r="C104" s="16" t="s">
        <v>282</v>
      </c>
      <c r="D104" s="16">
        <v>5</v>
      </c>
      <c r="E104" s="16">
        <v>0</v>
      </c>
      <c r="F104" s="16">
        <v>2</v>
      </c>
      <c r="G104" s="16">
        <v>3</v>
      </c>
      <c r="H104" s="16">
        <v>1E+30</v>
      </c>
    </row>
    <row r="105" spans="2:8" x14ac:dyDescent="0.2">
      <c r="B105" s="16" t="s">
        <v>284</v>
      </c>
      <c r="C105" s="16" t="s">
        <v>285</v>
      </c>
      <c r="D105" s="16">
        <v>2</v>
      </c>
      <c r="E105" s="16">
        <v>0</v>
      </c>
      <c r="F105" s="16">
        <v>2</v>
      </c>
      <c r="G105" s="16">
        <v>0</v>
      </c>
      <c r="H105" s="16">
        <v>1</v>
      </c>
    </row>
    <row r="106" spans="2:8" ht="17" thickBot="1" x14ac:dyDescent="0.25">
      <c r="B106" s="15" t="s">
        <v>288</v>
      </c>
      <c r="C106" s="15" t="s">
        <v>289</v>
      </c>
      <c r="D106" s="15">
        <v>3</v>
      </c>
      <c r="E106" s="15">
        <v>0</v>
      </c>
      <c r="F106" s="15">
        <v>2</v>
      </c>
      <c r="G106" s="15">
        <v>1</v>
      </c>
      <c r="H106" s="15">
        <v>1E+30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34E7-2C2A-7E46-AE47-4A3C1944B2F5}">
  <dimension ref="A1:J72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13.5" bestFit="1" customWidth="1"/>
    <col min="4" max="4" width="5.83203125" bestFit="1" customWidth="1"/>
    <col min="5" max="5" width="2.33203125" customWidth="1"/>
    <col min="6" max="6" width="6.1640625" bestFit="1" customWidth="1"/>
    <col min="7" max="7" width="9" bestFit="1" customWidth="1"/>
    <col min="8" max="8" width="2.33203125" customWidth="1"/>
    <col min="9" max="9" width="6.1640625" bestFit="1" customWidth="1"/>
    <col min="10" max="10" width="9" bestFit="1" customWidth="1"/>
  </cols>
  <sheetData>
    <row r="1" spans="1:10" x14ac:dyDescent="0.2">
      <c r="A1" s="8" t="s">
        <v>311</v>
      </c>
    </row>
    <row r="2" spans="1:10" x14ac:dyDescent="0.2">
      <c r="A2" s="8" t="s">
        <v>49</v>
      </c>
    </row>
    <row r="3" spans="1:10" x14ac:dyDescent="0.2">
      <c r="A3" s="8" t="s">
        <v>312</v>
      </c>
    </row>
    <row r="5" spans="1:10" ht="17" thickBot="1" x14ac:dyDescent="0.25"/>
    <row r="6" spans="1:10" x14ac:dyDescent="0.2">
      <c r="B6" s="17"/>
      <c r="C6" s="17" t="s">
        <v>28</v>
      </c>
      <c r="D6" s="17"/>
    </row>
    <row r="7" spans="1:10" ht="17" thickBot="1" x14ac:dyDescent="0.25">
      <c r="B7" s="18" t="s">
        <v>52</v>
      </c>
      <c r="C7" s="18" t="s">
        <v>53</v>
      </c>
      <c r="D7" s="18" t="s">
        <v>300</v>
      </c>
    </row>
    <row r="8" spans="1:10" ht="17" thickBot="1" x14ac:dyDescent="0.25">
      <c r="B8" s="15" t="s">
        <v>125</v>
      </c>
      <c r="C8" s="15" t="s">
        <v>126</v>
      </c>
      <c r="D8" s="15">
        <v>15</v>
      </c>
    </row>
    <row r="10" spans="1:10" ht="17" thickBot="1" x14ac:dyDescent="0.25"/>
    <row r="11" spans="1:10" x14ac:dyDescent="0.2">
      <c r="B11" s="17"/>
      <c r="C11" s="17" t="s">
        <v>313</v>
      </c>
      <c r="D11" s="17"/>
      <c r="F11" s="17" t="s">
        <v>314</v>
      </c>
      <c r="G11" s="17" t="s">
        <v>28</v>
      </c>
      <c r="I11" s="17" t="s">
        <v>317</v>
      </c>
      <c r="J11" s="17" t="s">
        <v>28</v>
      </c>
    </row>
    <row r="12" spans="1:10" ht="17" thickBot="1" x14ac:dyDescent="0.25">
      <c r="B12" s="18" t="s">
        <v>52</v>
      </c>
      <c r="C12" s="18" t="s">
        <v>53</v>
      </c>
      <c r="D12" s="18" t="s">
        <v>300</v>
      </c>
      <c r="F12" s="18" t="s">
        <v>315</v>
      </c>
      <c r="G12" s="18" t="s">
        <v>316</v>
      </c>
      <c r="I12" s="18" t="s">
        <v>315</v>
      </c>
      <c r="J12" s="18" t="s">
        <v>316</v>
      </c>
    </row>
    <row r="13" spans="1:10" x14ac:dyDescent="0.2">
      <c r="B13" s="16" t="s">
        <v>127</v>
      </c>
      <c r="C13" s="16" t="s">
        <v>128</v>
      </c>
      <c r="D13" s="16">
        <v>0</v>
      </c>
      <c r="F13" s="16">
        <v>0</v>
      </c>
      <c r="G13" s="16">
        <v>85</v>
      </c>
      <c r="I13" s="16">
        <v>250</v>
      </c>
      <c r="J13" s="16">
        <v>18835</v>
      </c>
    </row>
    <row r="14" spans="1:10" x14ac:dyDescent="0.2">
      <c r="B14" s="16" t="s">
        <v>129</v>
      </c>
      <c r="C14" s="16" t="s">
        <v>130</v>
      </c>
      <c r="D14" s="16">
        <v>0</v>
      </c>
      <c r="F14" s="16">
        <v>0</v>
      </c>
      <c r="G14" s="16">
        <v>110</v>
      </c>
      <c r="I14" s="16">
        <v>398.5</v>
      </c>
      <c r="J14" s="16">
        <v>20035</v>
      </c>
    </row>
    <row r="15" spans="1:10" x14ac:dyDescent="0.2">
      <c r="B15" s="16" t="s">
        <v>131</v>
      </c>
      <c r="C15" s="16" t="s">
        <v>132</v>
      </c>
      <c r="D15" s="16">
        <v>0</v>
      </c>
      <c r="F15" s="16">
        <v>0</v>
      </c>
      <c r="G15" s="16">
        <v>125</v>
      </c>
      <c r="I15" s="16">
        <v>597</v>
      </c>
      <c r="J15" s="16">
        <v>21020</v>
      </c>
    </row>
    <row r="16" spans="1:10" x14ac:dyDescent="0.2">
      <c r="B16" s="16" t="s">
        <v>133</v>
      </c>
      <c r="C16" s="16" t="s">
        <v>134</v>
      </c>
      <c r="D16" s="16">
        <v>0</v>
      </c>
      <c r="F16" s="16"/>
      <c r="G16" s="16"/>
      <c r="I16" s="16"/>
      <c r="J16" s="16"/>
    </row>
    <row r="17" spans="2:10" x14ac:dyDescent="0.2">
      <c r="B17" s="16" t="s">
        <v>135</v>
      </c>
      <c r="C17" s="16" t="s">
        <v>136</v>
      </c>
      <c r="D17" s="16">
        <v>0</v>
      </c>
      <c r="F17" s="16"/>
      <c r="G17" s="16"/>
      <c r="I17" s="16"/>
      <c r="J17" s="16"/>
    </row>
    <row r="18" spans="2:10" x14ac:dyDescent="0.2">
      <c r="B18" s="16" t="s">
        <v>137</v>
      </c>
      <c r="C18" s="16" t="s">
        <v>138</v>
      </c>
      <c r="D18" s="16">
        <v>0</v>
      </c>
      <c r="F18" s="16"/>
      <c r="G18" s="16"/>
      <c r="I18" s="16"/>
      <c r="J18" s="16"/>
    </row>
    <row r="19" spans="2:10" x14ac:dyDescent="0.2">
      <c r="B19" s="16" t="s">
        <v>139</v>
      </c>
      <c r="C19" s="16" t="s">
        <v>140</v>
      </c>
      <c r="D19" s="16">
        <v>0</v>
      </c>
      <c r="F19" s="16"/>
      <c r="G19" s="16"/>
      <c r="I19" s="16"/>
      <c r="J19" s="16"/>
    </row>
    <row r="20" spans="2:10" x14ac:dyDescent="0.2">
      <c r="B20" s="16" t="s">
        <v>141</v>
      </c>
      <c r="C20" s="16" t="s">
        <v>142</v>
      </c>
      <c r="D20" s="16">
        <v>0</v>
      </c>
      <c r="F20" s="16"/>
      <c r="G20" s="16"/>
      <c r="I20" s="16"/>
      <c r="J20" s="16"/>
    </row>
    <row r="21" spans="2:10" x14ac:dyDescent="0.2">
      <c r="B21" s="16" t="s">
        <v>143</v>
      </c>
      <c r="C21" s="16" t="s">
        <v>144</v>
      </c>
      <c r="D21" s="16">
        <v>0</v>
      </c>
      <c r="F21" s="16"/>
      <c r="G21" s="16"/>
      <c r="I21" s="16"/>
      <c r="J21" s="16"/>
    </row>
    <row r="22" spans="2:10" x14ac:dyDescent="0.2">
      <c r="B22" s="16" t="s">
        <v>145</v>
      </c>
      <c r="C22" s="16" t="s">
        <v>146</v>
      </c>
      <c r="D22" s="16">
        <v>0</v>
      </c>
      <c r="F22" s="16"/>
      <c r="G22" s="16"/>
      <c r="I22" s="16"/>
      <c r="J22" s="16"/>
    </row>
    <row r="23" spans="2:10" x14ac:dyDescent="0.2">
      <c r="B23" s="16" t="s">
        <v>147</v>
      </c>
      <c r="C23" s="16" t="s">
        <v>148</v>
      </c>
      <c r="D23" s="16">
        <v>1</v>
      </c>
      <c r="F23" s="16"/>
      <c r="G23" s="16"/>
      <c r="I23" s="16"/>
      <c r="J23" s="16"/>
    </row>
    <row r="24" spans="2:10" x14ac:dyDescent="0.2">
      <c r="B24" s="16" t="s">
        <v>149</v>
      </c>
      <c r="C24" s="16" t="s">
        <v>150</v>
      </c>
      <c r="D24" s="16">
        <v>1</v>
      </c>
      <c r="F24" s="16"/>
      <c r="G24" s="16"/>
      <c r="I24" s="16"/>
      <c r="J24" s="16"/>
    </row>
    <row r="25" spans="2:10" x14ac:dyDescent="0.2">
      <c r="B25" s="16" t="s">
        <v>151</v>
      </c>
      <c r="C25" s="16" t="s">
        <v>152</v>
      </c>
      <c r="D25" s="16">
        <v>1</v>
      </c>
      <c r="F25" s="16"/>
      <c r="G25" s="16"/>
      <c r="I25" s="16"/>
      <c r="J25" s="16"/>
    </row>
    <row r="26" spans="2:10" x14ac:dyDescent="0.2">
      <c r="B26" s="16" t="s">
        <v>153</v>
      </c>
      <c r="C26" s="16" t="s">
        <v>154</v>
      </c>
      <c r="D26" s="16">
        <v>1</v>
      </c>
      <c r="F26" s="16"/>
      <c r="G26" s="16"/>
      <c r="I26" s="16"/>
      <c r="J26" s="16"/>
    </row>
    <row r="27" spans="2:10" x14ac:dyDescent="0.2">
      <c r="B27" s="16" t="s">
        <v>155</v>
      </c>
      <c r="C27" s="16" t="s">
        <v>156</v>
      </c>
      <c r="D27" s="16">
        <v>1</v>
      </c>
      <c r="F27" s="16"/>
      <c r="G27" s="16"/>
      <c r="I27" s="16"/>
      <c r="J27" s="16"/>
    </row>
    <row r="28" spans="2:10" x14ac:dyDescent="0.2">
      <c r="B28" s="16" t="s">
        <v>157</v>
      </c>
      <c r="C28" s="16" t="s">
        <v>158</v>
      </c>
      <c r="D28" s="16">
        <v>1</v>
      </c>
      <c r="F28" s="16"/>
      <c r="G28" s="16"/>
      <c r="I28" s="16"/>
      <c r="J28" s="16"/>
    </row>
    <row r="29" spans="2:10" x14ac:dyDescent="0.2">
      <c r="B29" s="16" t="s">
        <v>159</v>
      </c>
      <c r="C29" s="16" t="s">
        <v>160</v>
      </c>
      <c r="D29" s="16">
        <v>1</v>
      </c>
      <c r="F29" s="16"/>
      <c r="G29" s="16"/>
      <c r="I29" s="16"/>
      <c r="J29" s="16"/>
    </row>
    <row r="30" spans="2:10" x14ac:dyDescent="0.2">
      <c r="B30" s="16" t="s">
        <v>161</v>
      </c>
      <c r="C30" s="16" t="s">
        <v>162</v>
      </c>
      <c r="D30" s="16">
        <v>1</v>
      </c>
      <c r="F30" s="16"/>
      <c r="G30" s="16"/>
      <c r="I30" s="16"/>
      <c r="J30" s="16"/>
    </row>
    <row r="31" spans="2:10" x14ac:dyDescent="0.2">
      <c r="B31" s="16" t="s">
        <v>163</v>
      </c>
      <c r="C31" s="16" t="s">
        <v>164</v>
      </c>
      <c r="D31" s="16">
        <v>1</v>
      </c>
      <c r="F31" s="16"/>
      <c r="G31" s="16"/>
      <c r="I31" s="16"/>
      <c r="J31" s="16"/>
    </row>
    <row r="32" spans="2:10" x14ac:dyDescent="0.2">
      <c r="B32" s="16" t="s">
        <v>165</v>
      </c>
      <c r="C32" s="16" t="s">
        <v>166</v>
      </c>
      <c r="D32" s="16">
        <v>1</v>
      </c>
      <c r="F32" s="16"/>
      <c r="G32" s="16"/>
      <c r="I32" s="16"/>
      <c r="J32" s="16"/>
    </row>
    <row r="33" spans="2:10" x14ac:dyDescent="0.2">
      <c r="B33" s="16" t="s">
        <v>167</v>
      </c>
      <c r="C33" s="16" t="s">
        <v>168</v>
      </c>
      <c r="D33" s="16">
        <v>0</v>
      </c>
      <c r="F33" s="16"/>
      <c r="G33" s="16"/>
      <c r="I33" s="16"/>
      <c r="J33" s="16"/>
    </row>
    <row r="34" spans="2:10" x14ac:dyDescent="0.2">
      <c r="B34" s="16" t="s">
        <v>169</v>
      </c>
      <c r="C34" s="16" t="s">
        <v>170</v>
      </c>
      <c r="D34" s="16">
        <v>0</v>
      </c>
      <c r="F34" s="16"/>
      <c r="G34" s="16"/>
      <c r="I34" s="16"/>
      <c r="J34" s="16"/>
    </row>
    <row r="35" spans="2:10" x14ac:dyDescent="0.2">
      <c r="B35" s="16" t="s">
        <v>171</v>
      </c>
      <c r="C35" s="16" t="s">
        <v>172</v>
      </c>
      <c r="D35" s="16">
        <v>0</v>
      </c>
      <c r="F35" s="16"/>
      <c r="G35" s="16"/>
      <c r="I35" s="16"/>
      <c r="J35" s="16"/>
    </row>
    <row r="36" spans="2:10" x14ac:dyDescent="0.2">
      <c r="B36" s="16" t="s">
        <v>173</v>
      </c>
      <c r="C36" s="16" t="s">
        <v>174</v>
      </c>
      <c r="D36" s="16">
        <v>0</v>
      </c>
      <c r="F36" s="16"/>
      <c r="G36" s="16"/>
      <c r="I36" s="16"/>
      <c r="J36" s="16"/>
    </row>
    <row r="37" spans="2:10" x14ac:dyDescent="0.2">
      <c r="B37" s="16" t="s">
        <v>175</v>
      </c>
      <c r="C37" s="16" t="s">
        <v>176</v>
      </c>
      <c r="D37" s="16">
        <v>0</v>
      </c>
      <c r="F37" s="16"/>
      <c r="G37" s="16"/>
      <c r="I37" s="16"/>
      <c r="J37" s="16"/>
    </row>
    <row r="38" spans="2:10" x14ac:dyDescent="0.2">
      <c r="B38" s="16" t="s">
        <v>177</v>
      </c>
      <c r="C38" s="16" t="s">
        <v>178</v>
      </c>
      <c r="D38" s="16">
        <v>0</v>
      </c>
      <c r="F38" s="16"/>
      <c r="G38" s="16"/>
      <c r="I38" s="16"/>
      <c r="J38" s="16"/>
    </row>
    <row r="39" spans="2:10" x14ac:dyDescent="0.2">
      <c r="B39" s="16" t="s">
        <v>179</v>
      </c>
      <c r="C39" s="16" t="s">
        <v>180</v>
      </c>
      <c r="D39" s="16">
        <v>0</v>
      </c>
      <c r="F39" s="16"/>
      <c r="G39" s="16"/>
      <c r="I39" s="16"/>
      <c r="J39" s="16"/>
    </row>
    <row r="40" spans="2:10" x14ac:dyDescent="0.2">
      <c r="B40" s="16" t="s">
        <v>181</v>
      </c>
      <c r="C40" s="16" t="s">
        <v>182</v>
      </c>
      <c r="D40" s="16">
        <v>0</v>
      </c>
      <c r="F40" s="16"/>
      <c r="G40" s="16"/>
      <c r="I40" s="16"/>
      <c r="J40" s="16"/>
    </row>
    <row r="41" spans="2:10" x14ac:dyDescent="0.2">
      <c r="B41" s="16" t="s">
        <v>183</v>
      </c>
      <c r="C41" s="16" t="s">
        <v>184</v>
      </c>
      <c r="D41" s="16">
        <v>0</v>
      </c>
      <c r="F41" s="16"/>
      <c r="G41" s="16"/>
      <c r="I41" s="16"/>
      <c r="J41" s="16"/>
    </row>
    <row r="42" spans="2:10" x14ac:dyDescent="0.2">
      <c r="B42" s="16" t="s">
        <v>185</v>
      </c>
      <c r="C42" s="16" t="s">
        <v>186</v>
      </c>
      <c r="D42" s="16">
        <v>0</v>
      </c>
      <c r="F42" s="16"/>
      <c r="G42" s="16"/>
      <c r="I42" s="16"/>
      <c r="J42" s="16"/>
    </row>
    <row r="43" spans="2:10" x14ac:dyDescent="0.2">
      <c r="B43" s="16" t="s">
        <v>187</v>
      </c>
      <c r="C43" s="16" t="s">
        <v>188</v>
      </c>
      <c r="D43" s="16">
        <v>0</v>
      </c>
      <c r="F43" s="16"/>
      <c r="G43" s="16"/>
      <c r="I43" s="16"/>
      <c r="J43" s="16"/>
    </row>
    <row r="44" spans="2:10" x14ac:dyDescent="0.2">
      <c r="B44" s="16" t="s">
        <v>189</v>
      </c>
      <c r="C44" s="16" t="s">
        <v>190</v>
      </c>
      <c r="D44" s="16">
        <v>0</v>
      </c>
      <c r="F44" s="16"/>
      <c r="G44" s="16"/>
      <c r="I44" s="16"/>
      <c r="J44" s="16"/>
    </row>
    <row r="45" spans="2:10" x14ac:dyDescent="0.2">
      <c r="B45" s="16" t="s">
        <v>191</v>
      </c>
      <c r="C45" s="16" t="s">
        <v>192</v>
      </c>
      <c r="D45" s="16">
        <v>0</v>
      </c>
      <c r="F45" s="16"/>
      <c r="G45" s="16"/>
      <c r="I45" s="16"/>
      <c r="J45" s="16"/>
    </row>
    <row r="46" spans="2:10" x14ac:dyDescent="0.2">
      <c r="B46" s="16" t="s">
        <v>193</v>
      </c>
      <c r="C46" s="16" t="s">
        <v>194</v>
      </c>
      <c r="D46" s="16">
        <v>0</v>
      </c>
      <c r="F46" s="16"/>
      <c r="G46" s="16"/>
      <c r="I46" s="16"/>
      <c r="J46" s="16"/>
    </row>
    <row r="47" spans="2:10" x14ac:dyDescent="0.2">
      <c r="B47" s="16" t="s">
        <v>195</v>
      </c>
      <c r="C47" s="16" t="s">
        <v>196</v>
      </c>
      <c r="D47" s="16">
        <v>0</v>
      </c>
      <c r="F47" s="16"/>
      <c r="G47" s="16"/>
      <c r="I47" s="16"/>
      <c r="J47" s="16"/>
    </row>
    <row r="48" spans="2:10" x14ac:dyDescent="0.2">
      <c r="B48" s="16" t="s">
        <v>197</v>
      </c>
      <c r="C48" s="16" t="s">
        <v>198</v>
      </c>
      <c r="D48" s="16">
        <v>0</v>
      </c>
      <c r="F48" s="16"/>
      <c r="G48" s="16"/>
      <c r="I48" s="16"/>
      <c r="J48" s="16"/>
    </row>
    <row r="49" spans="2:10" x14ac:dyDescent="0.2">
      <c r="B49" s="16" t="s">
        <v>199</v>
      </c>
      <c r="C49" s="16" t="s">
        <v>200</v>
      </c>
      <c r="D49" s="16">
        <v>0</v>
      </c>
      <c r="F49" s="16"/>
      <c r="G49" s="16"/>
      <c r="I49" s="16"/>
      <c r="J49" s="16"/>
    </row>
    <row r="50" spans="2:10" x14ac:dyDescent="0.2">
      <c r="B50" s="16" t="s">
        <v>201</v>
      </c>
      <c r="C50" s="16" t="s">
        <v>202</v>
      </c>
      <c r="D50" s="16">
        <v>0</v>
      </c>
      <c r="F50" s="16"/>
      <c r="G50" s="16"/>
      <c r="I50" s="16"/>
      <c r="J50" s="16"/>
    </row>
    <row r="51" spans="2:10" x14ac:dyDescent="0.2">
      <c r="B51" s="16" t="s">
        <v>203</v>
      </c>
      <c r="C51" s="16" t="s">
        <v>204</v>
      </c>
      <c r="D51" s="16">
        <v>1</v>
      </c>
      <c r="F51" s="16"/>
      <c r="G51" s="16"/>
      <c r="I51" s="16"/>
      <c r="J51" s="16"/>
    </row>
    <row r="52" spans="2:10" x14ac:dyDescent="0.2">
      <c r="B52" s="16" t="s">
        <v>205</v>
      </c>
      <c r="C52" s="16" t="s">
        <v>206</v>
      </c>
      <c r="D52" s="16">
        <v>1</v>
      </c>
      <c r="F52" s="16"/>
      <c r="G52" s="16"/>
      <c r="I52" s="16"/>
      <c r="J52" s="16"/>
    </row>
    <row r="53" spans="2:10" x14ac:dyDescent="0.2">
      <c r="B53" s="16" t="s">
        <v>207</v>
      </c>
      <c r="C53" s="16" t="s">
        <v>208</v>
      </c>
      <c r="D53" s="16">
        <v>0</v>
      </c>
      <c r="F53" s="16"/>
      <c r="G53" s="16"/>
      <c r="I53" s="16"/>
      <c r="J53" s="16"/>
    </row>
    <row r="54" spans="2:10" x14ac:dyDescent="0.2">
      <c r="B54" s="16" t="s">
        <v>209</v>
      </c>
      <c r="C54" s="16" t="s">
        <v>210</v>
      </c>
      <c r="D54" s="16">
        <v>0</v>
      </c>
      <c r="F54" s="16"/>
      <c r="G54" s="16"/>
      <c r="I54" s="16"/>
      <c r="J54" s="16"/>
    </row>
    <row r="55" spans="2:10" x14ac:dyDescent="0.2">
      <c r="B55" s="16" t="s">
        <v>211</v>
      </c>
      <c r="C55" s="16" t="s">
        <v>212</v>
      </c>
      <c r="D55" s="16">
        <v>0</v>
      </c>
      <c r="F55" s="16"/>
      <c r="G55" s="16"/>
      <c r="I55" s="16"/>
      <c r="J55" s="16"/>
    </row>
    <row r="56" spans="2:10" x14ac:dyDescent="0.2">
      <c r="B56" s="16" t="s">
        <v>213</v>
      </c>
      <c r="C56" s="16" t="s">
        <v>214</v>
      </c>
      <c r="D56" s="16">
        <v>0</v>
      </c>
      <c r="F56" s="16"/>
      <c r="G56" s="16"/>
      <c r="I56" s="16"/>
      <c r="J56" s="16"/>
    </row>
    <row r="57" spans="2:10" x14ac:dyDescent="0.2">
      <c r="B57" s="16" t="s">
        <v>215</v>
      </c>
      <c r="C57" s="16" t="s">
        <v>216</v>
      </c>
      <c r="D57" s="16">
        <v>0</v>
      </c>
      <c r="F57" s="16"/>
      <c r="G57" s="16"/>
      <c r="I57" s="16"/>
      <c r="J57" s="16"/>
    </row>
    <row r="58" spans="2:10" x14ac:dyDescent="0.2">
      <c r="B58" s="16" t="s">
        <v>217</v>
      </c>
      <c r="C58" s="16" t="s">
        <v>218</v>
      </c>
      <c r="D58" s="16">
        <v>0</v>
      </c>
      <c r="F58" s="16"/>
      <c r="G58" s="16"/>
      <c r="I58" s="16"/>
      <c r="J58" s="16"/>
    </row>
    <row r="59" spans="2:10" x14ac:dyDescent="0.2">
      <c r="B59" s="16" t="s">
        <v>219</v>
      </c>
      <c r="C59" s="16" t="s">
        <v>220</v>
      </c>
      <c r="D59" s="16">
        <v>0</v>
      </c>
      <c r="F59" s="16"/>
      <c r="G59" s="16"/>
      <c r="I59" s="16"/>
      <c r="J59" s="16"/>
    </row>
    <row r="60" spans="2:10" x14ac:dyDescent="0.2">
      <c r="B60" s="16" t="s">
        <v>221</v>
      </c>
      <c r="C60" s="16" t="s">
        <v>222</v>
      </c>
      <c r="D60" s="16">
        <v>0</v>
      </c>
      <c r="F60" s="16"/>
      <c r="G60" s="16"/>
      <c r="I60" s="16"/>
      <c r="J60" s="16"/>
    </row>
    <row r="61" spans="2:10" x14ac:dyDescent="0.2">
      <c r="B61" s="16" t="s">
        <v>223</v>
      </c>
      <c r="C61" s="16" t="s">
        <v>224</v>
      </c>
      <c r="D61" s="16">
        <v>0</v>
      </c>
      <c r="F61" s="16"/>
      <c r="G61" s="16"/>
      <c r="I61" s="16"/>
      <c r="J61" s="16"/>
    </row>
    <row r="62" spans="2:10" x14ac:dyDescent="0.2">
      <c r="B62" s="16" t="s">
        <v>225</v>
      </c>
      <c r="C62" s="16" t="s">
        <v>226</v>
      </c>
      <c r="D62" s="16">
        <v>0</v>
      </c>
      <c r="F62" s="16"/>
      <c r="G62" s="16"/>
      <c r="I62" s="16"/>
      <c r="J62" s="16"/>
    </row>
    <row r="63" spans="2:10" x14ac:dyDescent="0.2">
      <c r="B63" s="16" t="s">
        <v>227</v>
      </c>
      <c r="C63" s="16" t="s">
        <v>228</v>
      </c>
      <c r="D63" s="16">
        <v>1</v>
      </c>
      <c r="F63" s="16"/>
      <c r="G63" s="16"/>
      <c r="I63" s="16"/>
      <c r="J63" s="16"/>
    </row>
    <row r="64" spans="2:10" x14ac:dyDescent="0.2">
      <c r="B64" s="16" t="s">
        <v>229</v>
      </c>
      <c r="C64" s="16" t="s">
        <v>230</v>
      </c>
      <c r="D64" s="16">
        <v>1</v>
      </c>
      <c r="F64" s="16"/>
      <c r="G64" s="16"/>
      <c r="I64" s="16"/>
      <c r="J64" s="16"/>
    </row>
    <row r="65" spans="2:10" x14ac:dyDescent="0.2">
      <c r="B65" s="16" t="s">
        <v>231</v>
      </c>
      <c r="C65" s="16" t="s">
        <v>232</v>
      </c>
      <c r="D65" s="16">
        <v>1</v>
      </c>
      <c r="F65" s="16"/>
      <c r="G65" s="16"/>
      <c r="I65" s="16"/>
      <c r="J65" s="16"/>
    </row>
    <row r="66" spans="2:10" x14ac:dyDescent="0.2">
      <c r="B66" s="16" t="s">
        <v>233</v>
      </c>
      <c r="C66" s="16" t="s">
        <v>234</v>
      </c>
      <c r="D66" s="16">
        <v>0</v>
      </c>
      <c r="F66" s="16"/>
      <c r="G66" s="16"/>
      <c r="I66" s="16"/>
      <c r="J66" s="16"/>
    </row>
    <row r="67" spans="2:10" x14ac:dyDescent="0.2">
      <c r="B67" s="16" t="s">
        <v>235</v>
      </c>
      <c r="C67" s="16" t="s">
        <v>236</v>
      </c>
      <c r="D67" s="16">
        <v>0</v>
      </c>
      <c r="F67" s="16"/>
      <c r="G67" s="16"/>
      <c r="I67" s="16"/>
      <c r="J67" s="16"/>
    </row>
    <row r="68" spans="2:10" x14ac:dyDescent="0.2">
      <c r="B68" s="16" t="s">
        <v>237</v>
      </c>
      <c r="C68" s="16" t="s">
        <v>238</v>
      </c>
      <c r="D68" s="16">
        <v>0</v>
      </c>
      <c r="F68" s="16"/>
      <c r="G68" s="16"/>
      <c r="I68" s="16"/>
      <c r="J68" s="16"/>
    </row>
    <row r="69" spans="2:10" x14ac:dyDescent="0.2">
      <c r="B69" s="16" t="s">
        <v>239</v>
      </c>
      <c r="C69" s="16" t="s">
        <v>240</v>
      </c>
      <c r="D69" s="16">
        <v>0</v>
      </c>
      <c r="F69" s="16"/>
      <c r="G69" s="16"/>
      <c r="I69" s="16"/>
      <c r="J69" s="16"/>
    </row>
    <row r="70" spans="2:10" x14ac:dyDescent="0.2">
      <c r="B70" s="16" t="s">
        <v>241</v>
      </c>
      <c r="C70" s="16" t="s">
        <v>242</v>
      </c>
      <c r="D70" s="16">
        <v>0</v>
      </c>
      <c r="F70" s="16"/>
      <c r="G70" s="16"/>
      <c r="I70" s="16"/>
      <c r="J70" s="16"/>
    </row>
    <row r="71" spans="2:10" x14ac:dyDescent="0.2">
      <c r="B71" s="16" t="s">
        <v>243</v>
      </c>
      <c r="C71" s="16" t="s">
        <v>244</v>
      </c>
      <c r="D71" s="16">
        <v>0</v>
      </c>
      <c r="F71" s="16"/>
      <c r="G71" s="16"/>
      <c r="I71" s="16"/>
      <c r="J71" s="16"/>
    </row>
    <row r="72" spans="2:10" ht="17" thickBot="1" x14ac:dyDescent="0.25">
      <c r="B72" s="15" t="s">
        <v>245</v>
      </c>
      <c r="C72" s="15" t="s">
        <v>246</v>
      </c>
      <c r="D72" s="15">
        <v>0</v>
      </c>
      <c r="F72" s="15"/>
      <c r="G72" s="15"/>
      <c r="I72" s="15"/>
      <c r="J72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EFEE-3E4A-A44F-A22D-56459D8D1F5A}">
  <dimension ref="A1:Y30"/>
  <sheetViews>
    <sheetView tabSelected="1" workbookViewId="0">
      <selection activeCell="N17" sqref="N17"/>
    </sheetView>
  </sheetViews>
  <sheetFormatPr baseColWidth="10" defaultRowHeight="16" x14ac:dyDescent="0.2"/>
  <sheetData>
    <row r="1" spans="1:24" x14ac:dyDescent="0.2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t="s">
        <v>22</v>
      </c>
      <c r="S1" t="s">
        <v>23</v>
      </c>
      <c r="U1" t="s">
        <v>22</v>
      </c>
      <c r="W1" t="s">
        <v>24</v>
      </c>
    </row>
    <row r="2" spans="1:24" x14ac:dyDescent="0.2">
      <c r="A2" s="6" t="s">
        <v>16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>
        <f>SUM(B2:P2)</f>
        <v>5</v>
      </c>
      <c r="R2" s="1" t="s">
        <v>21</v>
      </c>
      <c r="S2" s="2">
        <v>2</v>
      </c>
      <c r="U2">
        <f>SUM(B2:P2)</f>
        <v>5</v>
      </c>
      <c r="V2" s="1" t="s">
        <v>20</v>
      </c>
      <c r="W2" s="2">
        <v>5</v>
      </c>
      <c r="X2" s="2"/>
    </row>
    <row r="3" spans="1:24" x14ac:dyDescent="0.2">
      <c r="A3" s="6" t="s">
        <v>17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>
        <f t="shared" ref="Q3" si="0">SUM(B3:P3)</f>
        <v>5</v>
      </c>
      <c r="R3" s="1" t="s">
        <v>21</v>
      </c>
      <c r="S3" s="2">
        <v>2</v>
      </c>
      <c r="U3">
        <f t="shared" ref="U3" si="1">SUM(B3:P3)</f>
        <v>5</v>
      </c>
      <c r="V3" s="1" t="s">
        <v>20</v>
      </c>
      <c r="W3" s="2">
        <v>5</v>
      </c>
      <c r="X3" s="2"/>
    </row>
    <row r="4" spans="1:24" x14ac:dyDescent="0.2">
      <c r="A4" s="6" t="s">
        <v>18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4">
        <v>0</v>
      </c>
      <c r="H4" s="4">
        <v>0</v>
      </c>
      <c r="I4" s="4">
        <v>0</v>
      </c>
      <c r="J4" s="4">
        <v>1</v>
      </c>
      <c r="K4" s="4">
        <v>1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>
        <f>SUM(B4:P4)</f>
        <v>2</v>
      </c>
      <c r="R4" s="1" t="s">
        <v>21</v>
      </c>
      <c r="S4" s="2">
        <v>2</v>
      </c>
      <c r="U4">
        <f>SUM(B4:P4)</f>
        <v>2</v>
      </c>
      <c r="V4" s="1" t="s">
        <v>20</v>
      </c>
      <c r="W4" s="2">
        <v>5</v>
      </c>
      <c r="X4" s="2"/>
    </row>
    <row r="5" spans="1:24" x14ac:dyDescent="0.2">
      <c r="A5" s="6" t="s">
        <v>19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4">
        <v>1</v>
      </c>
      <c r="H5" s="4">
        <v>1</v>
      </c>
      <c r="I5" s="4">
        <v>1</v>
      </c>
      <c r="J5" s="4">
        <v>0</v>
      </c>
      <c r="K5" s="4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>
        <f>SUM(B5:P5)</f>
        <v>3</v>
      </c>
      <c r="R5" s="1" t="s">
        <v>21</v>
      </c>
      <c r="S5" s="2">
        <v>2</v>
      </c>
      <c r="U5">
        <f>SUM(B5:P5)</f>
        <v>3</v>
      </c>
      <c r="V5" s="1" t="s">
        <v>20</v>
      </c>
      <c r="W5" s="2">
        <v>5</v>
      </c>
      <c r="X5" s="2"/>
    </row>
    <row r="6" spans="1:24" x14ac:dyDescent="0.2">
      <c r="A6" s="14" t="s">
        <v>25</v>
      </c>
      <c r="B6" s="14">
        <f t="shared" ref="B6:P6" si="2">SUM(B2:B5)</f>
        <v>1</v>
      </c>
      <c r="C6" s="14">
        <f t="shared" si="2"/>
        <v>1</v>
      </c>
      <c r="D6" s="14">
        <f t="shared" si="2"/>
        <v>1</v>
      </c>
      <c r="E6" s="14">
        <f t="shared" si="2"/>
        <v>1</v>
      </c>
      <c r="F6" s="14">
        <f t="shared" si="2"/>
        <v>1</v>
      </c>
      <c r="G6" s="14">
        <f t="shared" si="2"/>
        <v>1</v>
      </c>
      <c r="H6" s="14">
        <f t="shared" si="2"/>
        <v>1</v>
      </c>
      <c r="I6" s="14">
        <f t="shared" si="2"/>
        <v>1</v>
      </c>
      <c r="J6" s="14">
        <f t="shared" si="2"/>
        <v>1</v>
      </c>
      <c r="K6" s="14">
        <f t="shared" si="2"/>
        <v>1</v>
      </c>
      <c r="L6" s="14">
        <f t="shared" si="2"/>
        <v>1</v>
      </c>
      <c r="M6" s="14">
        <f t="shared" si="2"/>
        <v>1</v>
      </c>
      <c r="N6" s="14">
        <f t="shared" si="2"/>
        <v>1</v>
      </c>
      <c r="O6" s="14">
        <f t="shared" si="2"/>
        <v>1</v>
      </c>
      <c r="P6" s="14">
        <f t="shared" si="2"/>
        <v>1</v>
      </c>
    </row>
    <row r="8" spans="1:24" x14ac:dyDescent="0.2">
      <c r="G8" t="s">
        <v>30</v>
      </c>
      <c r="L8" t="s">
        <v>31</v>
      </c>
    </row>
    <row r="9" spans="1:24" x14ac:dyDescent="0.2">
      <c r="G9">
        <f>G4+G5</f>
        <v>1</v>
      </c>
      <c r="H9">
        <f>H4+H5</f>
        <v>1</v>
      </c>
      <c r="I9">
        <f>I4+I5</f>
        <v>1</v>
      </c>
      <c r="J9">
        <f>J4+J5</f>
        <v>1</v>
      </c>
      <c r="K9">
        <f>K4+K5</f>
        <v>1</v>
      </c>
      <c r="L9">
        <f>L2+L4</f>
        <v>1</v>
      </c>
      <c r="M9">
        <f>M2+M4</f>
        <v>1</v>
      </c>
      <c r="N9">
        <f>N2+N4</f>
        <v>1</v>
      </c>
      <c r="O9">
        <f>O2+O4</f>
        <v>1</v>
      </c>
      <c r="P9">
        <f>P2+P4</f>
        <v>1</v>
      </c>
    </row>
    <row r="11" spans="1:24" x14ac:dyDescent="0.2">
      <c r="A11" t="s">
        <v>26</v>
      </c>
    </row>
    <row r="12" spans="1:24" x14ac:dyDescent="0.2">
      <c r="A12" t="s">
        <v>27</v>
      </c>
      <c r="B12">
        <f>SUM(B2:P5)</f>
        <v>15</v>
      </c>
      <c r="C12" t="s">
        <v>20</v>
      </c>
      <c r="D12">
        <v>15</v>
      </c>
    </row>
    <row r="20" spans="1:25" x14ac:dyDescent="0.2">
      <c r="K20" s="7"/>
      <c r="L20" s="7"/>
      <c r="M20" s="7"/>
    </row>
    <row r="24" spans="1:25" x14ac:dyDescent="0.2">
      <c r="A24" t="s">
        <v>28</v>
      </c>
      <c r="B24">
        <f>SUMPRODUCT(B2:P5,K27:Y30)</f>
        <v>15</v>
      </c>
      <c r="J24" t="s">
        <v>29</v>
      </c>
      <c r="L24" t="s">
        <v>72</v>
      </c>
    </row>
    <row r="26" spans="1:25" x14ac:dyDescent="0.2">
      <c r="J26" s="13" t="s">
        <v>32</v>
      </c>
      <c r="K26" s="10" t="s">
        <v>33</v>
      </c>
      <c r="L26" s="10" t="s">
        <v>34</v>
      </c>
      <c r="M26" s="10" t="s">
        <v>35</v>
      </c>
      <c r="N26" s="10" t="s">
        <v>36</v>
      </c>
      <c r="O26" s="10" t="s">
        <v>37</v>
      </c>
      <c r="P26" s="11" t="s">
        <v>38</v>
      </c>
      <c r="Q26" s="11" t="s">
        <v>39</v>
      </c>
      <c r="R26" s="11" t="s">
        <v>40</v>
      </c>
      <c r="S26" s="11" t="s">
        <v>41</v>
      </c>
      <c r="T26" s="11" t="s">
        <v>42</v>
      </c>
      <c r="U26" s="12" t="s">
        <v>43</v>
      </c>
      <c r="V26" s="12" t="s">
        <v>44</v>
      </c>
      <c r="W26" s="12" t="s">
        <v>45</v>
      </c>
      <c r="X26" s="12" t="s">
        <v>46</v>
      </c>
      <c r="Y26" s="12" t="s">
        <v>47</v>
      </c>
    </row>
    <row r="27" spans="1:25" x14ac:dyDescent="0.2">
      <c r="J27" s="6" t="s">
        <v>16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</row>
    <row r="28" spans="1:25" x14ac:dyDescent="0.2">
      <c r="J28" s="6" t="s">
        <v>17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</row>
    <row r="29" spans="1:25" x14ac:dyDescent="0.2">
      <c r="J29" s="6" t="s">
        <v>18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5">
        <v>1</v>
      </c>
      <c r="V29" s="5">
        <v>1</v>
      </c>
      <c r="W29" s="5">
        <v>1</v>
      </c>
      <c r="X29" s="5">
        <v>1</v>
      </c>
      <c r="Y29" s="5">
        <v>1</v>
      </c>
    </row>
    <row r="30" spans="1:25" x14ac:dyDescent="0.2">
      <c r="J30" s="6" t="s">
        <v>19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Feasibility Report 1</vt:lpstr>
      <vt:lpstr>Feasibility Report 2</vt:lpstr>
      <vt:lpstr>Feasibility Report 3</vt:lpstr>
      <vt:lpstr>Answer Report 1</vt:lpstr>
      <vt:lpstr>Sensitivity Report 1</vt:lpstr>
      <vt:lpstr>Limits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 Rumaiz</dc:creator>
  <cp:lastModifiedBy>Seyed Rumaiz</cp:lastModifiedBy>
  <dcterms:created xsi:type="dcterms:W3CDTF">2026-03-25T15:45:02Z</dcterms:created>
  <dcterms:modified xsi:type="dcterms:W3CDTF">2026-04-16T15:27:10Z</dcterms:modified>
</cp:coreProperties>
</file>